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13.xml" ContentType="application/vnd.openxmlformats-officedocument.spreadsheetml.worksheet+xml"/>
  <Override PartName="/xl/worksheets/sheet14.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29bb9198f1314591" /></Relationships>
</file>

<file path=xl/workbook.xml><?xml version="1.0" encoding="utf-8"?>
<x:workbook xmlns:x="http://schemas.openxmlformats.org/spreadsheetml/2006/main">
  <x:sheets>
    <x:sheet xmlns:r="http://schemas.openxmlformats.org/officeDocument/2006/relationships" name="Inputs" sheetId="1" r:id="R8994181a9777447f"/>
    <x:sheet xmlns:r="http://schemas.openxmlformats.org/officeDocument/2006/relationships" name="Thermal Bank" sheetId="2" r:id="R79d2b8fdf46049f0"/>
    <x:sheet xmlns:r="http://schemas.openxmlformats.org/officeDocument/2006/relationships" name="Mass Budget" sheetId="3" r:id="R9246f2c0106049ae"/>
    <x:sheet xmlns:r="http://schemas.openxmlformats.org/officeDocument/2006/relationships" name="24h Dispatch" sheetId="4" r:id="R66b813ff468d4394"/>
    <x:sheet xmlns:r="http://schemas.openxmlformats.org/officeDocument/2006/relationships" name="Summary" sheetId="5" r:id="R71fe970c02bb43e0"/>
    <x:sheet xmlns:r="http://schemas.openxmlformats.org/officeDocument/2006/relationships" name="Dashboard v4" sheetId="6" r:id="R4f106e7c96a949c8"/>
    <x:sheet xmlns:r="http://schemas.openxmlformats.org/officeDocument/2006/relationships" name="Facilities &amp; Loads" sheetId="7" r:id="R85de256099f84ab9"/>
    <x:sheet xmlns:r="http://schemas.openxmlformats.org/officeDocument/2006/relationships" name="Generation &amp; Storage" sheetId="8" r:id="R8209832db5794bba"/>
    <x:sheet xmlns:r="http://schemas.openxmlformats.org/officeDocument/2006/relationships" name="Microgrid Nodes" sheetId="9" r:id="Rfbbeaac7e6b649ad"/>
    <x:sheet xmlns:r="http://schemas.openxmlformats.org/officeDocument/2006/relationships" name="Distribution Panel" sheetId="10" r:id="R468c728e636f48f9"/>
    <x:sheet xmlns:r="http://schemas.openxmlformats.org/officeDocument/2006/relationships" name="Development Tasks" sheetId="11" r:id="R4b3eaf1969454a45"/>
    <x:sheet xmlns:r="http://schemas.openxmlformats.org/officeDocument/2006/relationships" name="Mission Mass &amp; Fairing" sheetId="12" r:id="R3222e269c1754d0d"/>
    <x:sheet xmlns:r="http://schemas.openxmlformats.org/officeDocument/2006/relationships" name="Site Illumination" sheetId="13" r:id="Rfaca0bb105d5494d"/>
    <x:sheet xmlns:r="http://schemas.openxmlformats.org/officeDocument/2006/relationships" name="Load Auction" sheetId="14" r:id="R7b6cf1f660b04ef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0%"/>
    <x:numFmt numFmtId="202" formatCode="0"/>
    <x:numFmt numFmtId="203" formatCode="0%"/>
  </x:numFmts>
  <x:fonts count="4">
    <x:font>
      <x:sz val="11"/>
      <x:name val="Carlito"/>
    </x:font>
    <x:font>
      <x:b/>
      <x:sz val="14"/>
      <x:color rgb="FFFFFFFF"/>
      <x:name val="Carlito"/>
    </x:font>
    <x:font>
      <x:b/>
      <x:sz val="11"/>
      <x:color rgb="FF000000"/>
      <x:name val="Carlito"/>
    </x:font>
    <x:font>
      <x:b/>
      <x:sz val="11"/>
      <x:color rgb="FF203864"/>
      <x:name val="Carlito"/>
    </x:font>
  </x:fonts>
  <x:fills count="10">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EEF4F8"/>
      </x:patternFill>
    </x:fill>
    <x:fill>
      <x:patternFill patternType="solid">
        <x:fgColor rgb="FF1F4E78"/>
      </x:patternFill>
    </x:fill>
    <x:fill>
      <x:patternFill patternType="solid">
        <x:fgColor rgb="FFD9EAF7"/>
      </x:patternFill>
    </x:fill>
    <x:fill>
      <x:patternFill patternType="solid">
        <x:fgColor rgb="FFEEF4F8"/>
      </x:patternFill>
    </x:fill>
  </x:fills>
  <x:borders count="2">
    <x:border/>
    <x:border/>
  </x:borders>
  <x:cellStyleXfs count="1">
    <x:xf numFmtId="0" fontId="0" fillId="0" borderId="0"/>
  </x:cellStyleXfs>
  <x:cellXfs count="71">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2" borderId="1"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xf numFmtId="0" fontId="0"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left"/>
    </x:xf>
    <x:xf numFmtId="0" fontId="1" fillId="4" borderId="0" xfId="0" applyNumberFormat="1" applyFont="1" applyFill="1" applyBorder="1" applyAlignment="1">
      <x:alignment horizontal="left" vertical="center"/>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2" fillId="5" borderId="0" xfId="0" applyNumberFormat="1" applyFont="1" applyFill="1" applyBorder="1" applyAlignment="1">
      <x:alignment horizontal="center" vertical="center"/>
    </x:xf>
    <x:xf numFmtId="0" fontId="0" fillId="6" borderId="0" xfId="0" applyNumberFormat="1" applyFont="1" applyFill="1" applyBorder="1"/>
    <x:xf numFmtId="0" fontId="3" fillId="6" borderId="0" xfId="0" applyNumberFormat="1" applyFont="1" applyFill="1" applyBorder="1"/>
    <x:xf numFmtId="0" fontId="1" fillId="4" borderId="0" xfId="0" applyNumberFormat="1" applyFont="1" applyFill="1" applyBorder="1" applyAlignment="1">
      <x:alignment horizontal="left" vertical="center" wrapText="1"/>
    </x:xf>
    <x:xf numFmtId="0" fontId="2" fillId="5" borderId="0" xfId="0" applyNumberFormat="1" applyFont="1" applyFill="1" applyBorder="1" applyAlignment="1">
      <x:alignment horizontal="center" vertical="center" wrapText="1"/>
    </x:xf>
    <x:xf numFmtId="0" fontId="3" fillId="6" borderId="0" xfId="0" applyNumberFormat="1" applyFont="1" applyFill="1" applyBorder="1" applyAlignment="1">
      <x:alignment wrapText="1"/>
    </x:xf>
    <x:xf numFmtId="202" fontId="0" fillId="0" borderId="0" xfId="0" applyNumberFormat="1" applyFont="1" applyFill="1" applyBorder="1" applyAlignment="1">
      <x:alignment wrapText="1"/>
    </x:xf>
    <x:xf numFmtId="0" fontId="0" fillId="5" borderId="0" xfId="0" applyNumberFormat="1" applyFont="1" applyFill="1" applyBorder="1" applyAlignment="1">
      <x:alignment wrapText="1"/>
    </x:xf>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horizontal="left"/>
    </x:xf>
    <x:xf numFmtId="0" fontId="1" fillId="7" borderId="0" xfId="0" applyNumberFormat="1" applyFont="1" applyFill="1" applyBorder="1" applyAlignment="1">
      <x:alignment horizontal="left" vertical="center"/>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horizontal="center"/>
    </x:xf>
    <x:xf numFmtId="0" fontId="2" fillId="8" borderId="0" xfId="0" applyNumberFormat="1" applyFont="1" applyFill="1" applyBorder="1" applyAlignment="1">
      <x:alignment horizontal="center" vertical="center"/>
    </x:xf>
    <x:xf numFmtId="200" fontId="0" fillId="0" borderId="0" xfId="0" applyNumberFormat="1" applyFont="1" applyFill="1" applyBorder="1"/>
    <x:xf numFmtId="201" fontId="0" fillId="0" borderId="0" xfId="0" applyNumberFormat="1" applyFont="1" applyFill="1" applyBorder="1"/>
    <x:xf numFmtId="0" fontId="1" fillId="7" borderId="0" xfId="0" applyNumberFormat="1" applyFont="1" applyFill="1" applyBorder="1" applyAlignment="1">
      <x:alignment horizontal="left" vertical="center" wrapText="1"/>
    </x:xf>
    <x:xf numFmtId="0" fontId="2" fillId="8" borderId="0" xfId="0" applyNumberFormat="1" applyFont="1" applyFill="1" applyBorder="1" applyAlignment="1">
      <x:alignment horizontal="center" vertical="center" wrapText="1"/>
    </x:xf>
    <x:xf numFmtId="203" fontId="0" fillId="0" borderId="0" xfId="0" applyNumberFormat="1" applyFont="1" applyFill="1" applyBorder="1"/>
    <x:xf numFmtId="0" fontId="0" fillId="9" borderId="0" xfId="0" applyNumberFormat="1" applyFont="1" applyFill="1" applyBorder="1"/>
    <x:xf numFmtId="0" fontId="3" fillId="9" borderId="0" xfId="0" applyNumberFormat="1" applyFont="1" applyFill="1" applyBorder="1"/>
    <x:xf numFmtId="203" fontId="0" fillId="0" borderId="0" xfId="0" applyNumberFormat="1" applyFont="1" applyFill="1" applyBorder="1" applyAlignment="1">
      <x:alignment wrapText="1"/>
    </x:xf>
    <x:xf numFmtId="0" fontId="3" fillId="9" borderId="0" xfId="0" applyNumberFormat="1" applyFont="1" applyFill="1" applyBorder="1" applyAlignment="1">
      <x:alignment wrapText="1"/>
    </x:xf>
    <x:xf numFmtId="0" fontId="0" fillId="8" borderId="0" xfId="0" applyNumberFormat="1" applyFont="1" applyFill="1" applyBorder="1" applyAlignment="1">
      <x:alignment wrapText="1"/>
    </x:xf>
    <x:xf numFmtId="0" fontId="2" fillId="8" borderId="0" xfId="0" applyNumberFormat="1" applyFont="1" applyFill="1" applyBorder="1" applyAlignment="1">
      <x:alignment wrapText="1"/>
    </x:xf>
    <x:xf numFmtId="0" fontId="2" fillId="8" borderId="0" xfId="0" applyNumberFormat="1" applyFont="1" applyFill="1" applyBorder="1" applyAlignment="1">
      <x:alignment horizontal="center" wrapText="1"/>
    </x:xf>
    <x:xf numFmtId="0" fontId="0" fillId="9" borderId="0" xfId="0" applyNumberFormat="1" applyFont="1" applyFill="1" applyBorder="1" applyAlignment="1">
      <x:alignment wrapText="1"/>
    </x:xf>
  </x:cellXfs>
  <x:cellStyles count="1">
    <x:cellStyle name="Normal" xfId="0"/>
  </x:cellStyles>
  <x:dxfs count="15">
    <x:dxf>
      <x:font>
        <x:b/>
      </x:font>
      <x:fill>
        <x:patternFill>
          <x:bgColor rgb="FFF4CCCC"/>
        </x:patternFill>
      </x:fill>
    </x:dxf>
    <x:dxf>
      <x:font>
        <x:b/>
      </x:font>
      <x:fill>
        <x:patternFill>
          <x:bgColor rgb="FFF4CCCC"/>
        </x:patternFill>
      </x:fill>
    </x:dxf>
    <x:dxf>
      <x:fill>
        <x:patternFill>
          <x:bgColor rgb="FFD9EAD3"/>
        </x:patternFill>
      </x:fill>
    </x:dxf>
    <x:dxf>
      <x:font>
        <x:b/>
      </x:font>
      <x:fill>
        <x:patternFill>
          <x:bgColor rgb="FFF4CCCC"/>
        </x:patternFill>
      </x:fill>
    </x:dxf>
    <x:dxf>
      <x:font>
        <x:b/>
      </x:font>
      <x:fill>
        <x:patternFill>
          <x:bgColor rgb="FFF4CCCC"/>
        </x:patternFill>
      </x:fill>
    </x:dxf>
    <x:dxf>
      <x:fill>
        <x:patternFill>
          <x:bgColor rgb="FFFFF2CC"/>
        </x:patternFill>
      </x:fill>
    </x:dxf>
    <x:dxf>
      <x:font>
        <x:b/>
      </x:font>
      <x:fill>
        <x:patternFill>
          <x:bgColor rgb="FFF4CCCC"/>
        </x:patternFill>
      </x:fill>
    </x:dxf>
    <x:dxf>
      <x:font>
        <x:b/>
      </x:font>
      <x:fill>
        <x:patternFill>
          <x:bgColor rgb="FFF4CCCC"/>
        </x:patternFill>
      </x:fill>
    </x:dxf>
    <x:dxf>
      <x:font>
        <x:b/>
      </x:font>
      <x:fill>
        <x:patternFill patternType="solid">
          <x:bgColor rgb="FFF4CCCC"/>
        </x:patternFill>
      </x:fill>
    </x:dxf>
    <x:dxf>
      <x:fill>
        <x:patternFill patternType="solid">
          <x:bgColor rgb="FFFFF2CC"/>
        </x:patternFill>
      </x:fill>
    </x:dxf>
    <x:dxf>
      <x:fill>
        <x:patternFill patternType="solid">
          <x:bgColor rgb="FFD9EAD3"/>
        </x:patternFill>
      </x:fill>
    </x:dxf>
    <x:dxf>
      <x:font>
        <x:b/>
      </x:font>
      <x:fill>
        <x:patternFill patternType="solid">
          <x:bgColor rgb="FFF4CCCC"/>
        </x:patternFill>
      </x:fill>
    </x:dxf>
    <x:dxf>
      <x:font>
        <x:b/>
      </x:font>
      <x:fill>
        <x:patternFill patternType="solid">
          <x:bgColor rgb="FFF4CCCC"/>
        </x:patternFill>
      </x:fill>
    </x:dxf>
    <x:dxf>
      <x:fill>
        <x:patternFill patternType="solid">
          <x:bgColor rgb="FFFFF2CC"/>
        </x:patternFill>
      </x:fill>
    </x:dxf>
    <x:dxf>
      <x:fill>
        <x:patternFill patternType="solid">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2f6308f092c4e29" /><Relationship Type="http://schemas.openxmlformats.org/officeDocument/2006/relationships/theme" Target="/xl/theme/theme1.xml" Id="Rc279d235c0174908" /><Relationship Type="http://schemas.openxmlformats.org/officeDocument/2006/relationships/sharedStrings" Target="/xl/sharedStrings.xml" Id="R26783ce999294b6a" /><Relationship Type="http://schemas.openxmlformats.org/officeDocument/2006/relationships/worksheet" Target="/xl/worksheets/sheet1.xml" Id="R8994181a9777447f" /><Relationship Type="http://schemas.openxmlformats.org/officeDocument/2006/relationships/worksheet" Target="/xl/worksheets/sheet2.xml" Id="R79d2b8fdf46049f0" /><Relationship Type="http://schemas.openxmlformats.org/officeDocument/2006/relationships/worksheet" Target="/xl/worksheets/sheet3.xml" Id="R9246f2c0106049ae" /><Relationship Type="http://schemas.openxmlformats.org/officeDocument/2006/relationships/worksheet" Target="/xl/worksheets/sheet4.xml" Id="R66b813ff468d4394" /><Relationship Type="http://schemas.openxmlformats.org/officeDocument/2006/relationships/worksheet" Target="/xl/worksheets/sheet5.xml" Id="R71fe970c02bb43e0" /><Relationship Type="http://schemas.openxmlformats.org/officeDocument/2006/relationships/worksheet" Target="/xl/worksheets/sheet6.xml" Id="R4f106e7c96a949c8" /><Relationship Type="http://schemas.openxmlformats.org/officeDocument/2006/relationships/worksheet" Target="/xl/worksheets/sheet7.xml" Id="R85de256099f84ab9" /><Relationship Type="http://schemas.openxmlformats.org/officeDocument/2006/relationships/worksheet" Target="/xl/worksheets/sheet8.xml" Id="R8209832db5794bba" /><Relationship Type="http://schemas.openxmlformats.org/officeDocument/2006/relationships/worksheet" Target="/xl/worksheets/sheet9.xml" Id="Rfbbeaac7e6b649ad" /><Relationship Type="http://schemas.openxmlformats.org/officeDocument/2006/relationships/worksheet" Target="/xl/worksheets/sheet10.xml" Id="R468c728e636f48f9" /><Relationship Type="http://schemas.openxmlformats.org/officeDocument/2006/relationships/worksheet" Target="/xl/worksheets/sheet11.xml" Id="R4b3eaf1969454a45" /><Relationship Type="http://schemas.openxmlformats.org/officeDocument/2006/relationships/worksheet" Target="/xl/worksheets/sheet12.xml" Id="R3222e269c1754d0d" /><Relationship Type="http://schemas.openxmlformats.org/officeDocument/2006/relationships/worksheet" Target="/xl/worksheets/sheet13.xml" Id="Rfaca0bb105d5494d" /><Relationship Type="http://schemas.openxmlformats.org/officeDocument/2006/relationships/worksheet" Target="/xl/worksheets/sheet14.xml" Id="R7b6cf1f660b04efd" /></Relationships>
</file>

<file path=xl/drawings/_rels/drawing1.xml.rels>&#65279;<?xml version="1.0" encoding="utf-8"?><Relationships xmlns="http://schemas.openxmlformats.org/package/2006/relationships"><Relationship Type="http://schemas.openxmlformats.org/officeDocument/2006/relationships/chart" Target="/xl/drawings/charts/chart1.xml" Id="R1b5ca52b502c4deb" /></Relationships>
</file>

<file path=xl/drawings/_rels/drawing2.xml.rels>&#65279;<?xml version="1.0" encoding="utf-8"?><Relationships xmlns="http://schemas.openxmlformats.org/package/2006/relationships"><Relationship Type="http://schemas.openxmlformats.org/officeDocument/2006/relationships/chart" Target="/xl/drawings/charts/chart2.xml" Id="Rb695a0caee074d8f" /></Relationships>
</file>

<file path=xl/drawings/_rels/drawing3.xml.rels>&#65279;<?xml version="1.0" encoding="utf-8"?><Relationships xmlns="http://schemas.openxmlformats.org/package/2006/relationships"><Relationship Type="http://schemas.openxmlformats.org/officeDocument/2006/relationships/chart" Target="/xl/drawings/charts/chart3.xml" Id="R107b18a0f7d1469d" /></Relationships>
</file>

<file path=xl/drawings/_rels/drawing4.xml.rels>&#65279;<?xml version="1.0" encoding="utf-8"?><Relationships xmlns="http://schemas.openxmlformats.org/package/2006/relationships"><Relationship Type="http://schemas.openxmlformats.org/officeDocument/2006/relationships/chart" Target="/xl/drawings/charts/chart4.xml" Id="Rd23c4201b2ba43c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Landed mass by subsystem</a:t>
            </a:r>
          </a:p>
        </c:rich>
      </c:tx>
    </c:title>
    <c:plotArea>
      <c:barChart>
        <c:barDir val="col"/>
        <c:varyColors val="0"/>
        <c:ser>
          <c:idx val="0"/>
          <c:order val="0"/>
          <c:tx>
            <c:v>Sizing basis</c:v>
          </c:tx>
          <c:cat>
            <c:strRef>
              <c:f>'Mass Budget'!$A$4:$A$8</c:f>
              <c:strCache>
                <c:ptCount val="0"/>
              </c:strCache>
            </c:strRef>
          </c:cat>
          <c:val>
            <c:numRef>
              <c:f>'Mass Budget'!$B$4:$B$8</c:f>
              <c:numCache>
                <c:formatCode>General</c:formatCode>
                <c:ptCount val="0"/>
              </c:numCache>
            </c:numRef>
          </c:val>
        </c:ser>
        <c:ser>
          <c:idx val="1"/>
          <c:order val="1"/>
          <c:tx>
            <c:v>Calculated mass kg</c:v>
          </c:tx>
          <c:cat>
            <c:strRef>
              <c:f>'Mass Budget'!$A$4:$A$8</c:f>
              <c:strCache>
                <c:ptCount val="0"/>
              </c:strCache>
            </c:strRef>
          </c:cat>
          <c:val>
            <c:numRef>
              <c:f>'Mass Budget'!$C$4:$C$8</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24-hour electrical dispatch</a:t>
            </a:r>
          </a:p>
        </c:rich>
      </c:tx>
    </c:title>
    <c:plotArea>
      <c:lineChart>
        <c:grouping val="standard"/>
        <c:varyColors val="0"/>
        <c:ser>
          <c:idx val="0"/>
          <c:order val="0"/>
          <c:tx>
            <c:v>Load kW</c:v>
          </c:tx>
          <c:marker>
            <c:symbol val="none"/>
          </c:marker>
          <c:cat>
            <c:strRef>
              <c:f>'24h Dispatch'!$A$4:$A$27</c:f>
              <c:strCache>
                <c:ptCount val="0"/>
              </c:strCache>
            </c:strRef>
          </c:cat>
          <c:val>
            <c:numRef>
              <c:f>'24h Dispatch'!$B$4:$B$27</c:f>
              <c:numCache>
                <c:formatCode>0.00</c:formatCode>
                <c:ptCount val="0"/>
              </c:numCache>
            </c:numRef>
          </c:val>
        </c:ser>
        <c:ser>
          <c:idx val="1"/>
          <c:order val="1"/>
          <c:tx>
            <c:v>Solar frac</c:v>
          </c:tx>
          <c:marker>
            <c:symbol val="none"/>
          </c:marker>
          <c:cat>
            <c:strRef>
              <c:f>'24h Dispatch'!$A$4:$A$27</c:f>
              <c:strCache>
                <c:ptCount val="0"/>
              </c:strCache>
            </c:strRef>
          </c:cat>
          <c:val>
            <c:numRef>
              <c:f>'24h Dispatch'!$C$4:$C$27</c:f>
              <c:numCache>
                <c:formatCode>0.00</c:formatCode>
                <c:ptCount val="0"/>
              </c:numCache>
            </c:numRef>
          </c:val>
        </c:ser>
        <c:ser>
          <c:idx val="2"/>
          <c:order val="2"/>
          <c:tx>
            <c:v>Solar kW</c:v>
          </c:tx>
          <c:marker>
            <c:symbol val="none"/>
          </c:marker>
          <c:cat>
            <c:strRef>
              <c:f>'24h Dispatch'!$A$4:$A$27</c:f>
              <c:strCache>
                <c:ptCount val="0"/>
              </c:strCache>
            </c:strRef>
          </c:cat>
          <c:val>
            <c:numRef>
              <c:f>'24h Dispatch'!$D$4:$D$27</c:f>
              <c:numCache>
                <c:formatCode>0.00</c:formatCode>
                <c:ptCount val="0"/>
              </c:numCache>
            </c:numRef>
          </c:val>
        </c:ser>
        <c:ser>
          <c:idx val="3"/>
          <c:order val="3"/>
          <c:tx>
            <c:v>Fission kW</c:v>
          </c:tx>
          <c:marker>
            <c:symbol val="none"/>
          </c:marker>
          <c:cat>
            <c:strRef>
              <c:f>'24h Dispatch'!$A$4:$A$27</c:f>
              <c:strCache>
                <c:ptCount val="0"/>
              </c:strCache>
            </c:strRef>
          </c:cat>
          <c:val>
            <c:numRef>
              <c:f>'24h Dispatch'!$E$4:$E$27</c:f>
              <c:numCache>
                <c:formatCode>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2027 vs 2028 landed mass</a:t>
            </a:r>
          </a:p>
        </c:rich>
      </c:tx>
    </c:title>
    <c:plotArea>
      <c:barChart>
        <c:barDir val="col"/>
        <c:varyColors val="0"/>
        <c:ser>
          <c:idx val="0"/>
          <c:order val="0"/>
          <c:tx>
            <c:v>kg</c:v>
          </c:tx>
          <c:cat>
            <c:strRef>
              <c:f>'Mission Mass &amp; Fairing'!$L$4:$L$5</c:f>
              <c:strCache>
                <c:ptCount val="0"/>
              </c:strCache>
            </c:strRef>
          </c:cat>
          <c:val>
            <c:numRef>
              <c:f>'Mission Mass &amp; Fairing'!$M$4:$M$5</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Deficit versus available power</a:t>
            </a:r>
          </a:p>
        </c:rich>
      </c:tx>
    </c:title>
    <c:plotArea>
      <c:lineChart>
        <c:grouping val="standard"/>
        <c:ser>
          <c:idx val="0"/>
          <c:order val="0"/>
          <c:tx>
            <c:v>Deficit kW</c:v>
          </c:tx>
          <c:marker>
            <c:symbol val="none"/>
          </c:marker>
          <c:cat>
            <c:strRef>
              <c:f>'Load Auction'!$A$12:$A$18</c:f>
              <c:strCache>
                <c:ptCount val="0"/>
              </c:strCache>
            </c:strRef>
          </c:cat>
          <c:val>
            <c:numRef>
              <c:f>'Load Auction'!$B$12:$B$18</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2</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b5ca52b502c4deb"/>
        </a:graphicData>
      </a:graphic>
    </xdr:graphicFrame>
    <xdr:clientData/>
  </xdr:twoCellAnchor>
</xdr:wsDr>
</file>

<file path=xl/drawings/drawing2.xml><?xml version="1.0" encoding="utf-8"?>
<xdr:wsDr xmlns:xdr="http://schemas.openxmlformats.org/drawingml/2006/spreadsheetDrawing">
  <xdr:twoCellAnchor>
    <xdr:from>
      <xdr:col>15</xdr:col>
      <xdr:colOff>0</xdr:colOff>
      <xdr:row>12</xdr:row>
      <xdr:rowOff>0</xdr:rowOff>
    </xdr:from>
    <xdr:to>
      <xdr:col>23</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695a0caee074d8f"/>
        </a:graphicData>
      </a:graphic>
    </xdr:graphicFrame>
    <xdr:clientData/>
  </xdr:twoCellAnchor>
</xdr:wsDr>
</file>

<file path=xl/drawings/drawing3.xml><?xml version="1.0" encoding="utf-8"?>
<xdr:wsDr xmlns:xdr="http://schemas.openxmlformats.org/drawingml/2006/spreadsheetDrawing">
  <xdr:twoCellAnchor>
    <xdr:from>
      <xdr:col>11</xdr:col>
      <xdr:colOff>0</xdr:colOff>
      <xdr:row>9</xdr:row>
      <xdr:rowOff>0</xdr:rowOff>
    </xdr:from>
    <xdr:to>
      <xdr:col>17</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07b18a0f7d1469d"/>
        </a:graphicData>
      </a:graphic>
    </xdr:graphicFrame>
    <xdr:clientData/>
  </xdr:twoCellAnchor>
</xdr:wsDr>
</file>

<file path=xl/drawings/drawing4.xml><?xml version="1.0" encoding="utf-8"?>
<xdr:wsDr xmlns:xdr="http://schemas.openxmlformats.org/drawingml/2006/spreadsheetDrawing">
  <xdr:twoCellAnchor>
    <xdr:from>
      <xdr:col>6</xdr:col>
      <xdr:colOff>0</xdr:colOff>
      <xdr:row>21</xdr:row>
      <xdr:rowOff>0</xdr:rowOff>
    </xdr:from>
    <xdr:to>
      <xdr:col>14</xdr:col>
      <xdr:colOff>0</xdr:colOff>
      <xdr:row>38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23c4201b2ba43c3"/>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52af4dbd2ab64830" /></Relationships>
</file>

<file path=xl/worksheets/_rels/sheet4.xml.rels>&#65279;<?xml version="1.0" encoding="utf-8"?><Relationships xmlns="http://schemas.openxmlformats.org/package/2006/relationships"><Relationship Type="http://schemas.openxmlformats.org/officeDocument/2006/relationships/drawing" Target="/xl/drawings/drawing2.xml" Id="R2b79c290d5a843f3" /></Relationships>
</file>

<file path=xl/worksheets/_rels/sheet12.xml.rels>&#65279;<?xml version="1.0" encoding="utf-8"?><Relationships xmlns="http://schemas.openxmlformats.org/package/2006/relationships"><Relationship Type="http://schemas.openxmlformats.org/officeDocument/2006/relationships/drawing" Target="/xl/drawings/drawing3.xml" Id="R4a7dabe9e7654d8b" /></Relationships>
</file>

<file path=xl/worksheets/_rels/sheet14.xml.rels>&#65279;<?xml version="1.0" encoding="utf-8"?><Relationships xmlns="http://schemas.openxmlformats.org/package/2006/relationships"><Relationship Type="http://schemas.openxmlformats.org/officeDocument/2006/relationships/drawing" Target="/xl/drawings/drawing4.xml" Id="R46134d46d4f943b6" /></Relationships>
</file>

<file path=xl/worksheets/sheet1.xml><?xml version="1.0" encoding="utf-8"?>
<x:worksheet xmlns:x="http://schemas.openxmlformats.org/spreadsheetml/2006/main">
  <x:sheetFormatPr defaultRowHeight="15"/>
  <x:cols>
    <x:col min="1" max="1" width="30" hidden="0" customWidth="1"/>
    <x:col min="2" max="2" width="12" hidden="0" customWidth="1"/>
    <x:col min="3" max="3" width="12" hidden="0" customWidth="1"/>
    <x:col min="4" max="4" width="12" hidden="0" customWidth="1"/>
    <x:col min="5" max="5" width="14" hidden="0" customWidth="1"/>
    <x:col min="6" max="6" width="42" hidden="0" customWidth="1"/>
  </x:cols>
  <x:sheetData>
    <x:row r="1">
      <x:c r="A1" s="7" t="str">
        <x:v>LOGIC Model 1 — Power, Thermal Bank, and Mass-Constrained Dispatch</x:v>
      </x:c>
      <x:c r="B1" s="7"/>
      <x:c r="C1" s="7"/>
      <x:c r="D1" s="7"/>
      <x:c r="E1" s="7"/>
      <x:c r="F1" s="7"/>
      <x:c r="G1" s="2"/>
      <x:c r="H1" s="2"/>
      <x:c r="I1" s="2"/>
      <x:c r="J1" s="2"/>
      <x:c r="K1" s="2"/>
      <x:c r="L1" s="2"/>
      <x:c r="M1" s="2"/>
      <x:c r="N1" s="2"/>
      <x:c r="O1" s="2"/>
      <x:c r="P1" s="2"/>
      <x:c r="Q1" s="2"/>
    </x:row>
    <x:row r="2">
      <x:c r="A2" s="2"/>
      <x:c r="B2" s="2"/>
      <x:c r="C2" s="2"/>
      <x:c r="D2" s="2"/>
      <x:c r="E2" s="2"/>
      <x:c r="F2" s="2"/>
      <x:c r="G2" s="2"/>
      <x:c r="H2" s="2"/>
      <x:c r="I2" s="2"/>
      <x:c r="J2" s="2"/>
      <x:c r="K2" s="2"/>
      <x:c r="L2" s="2"/>
      <x:c r="M2" s="2"/>
      <x:c r="N2" s="2"/>
      <x:c r="O2" s="2"/>
      <x:c r="P2" s="2"/>
      <x:c r="Q2" s="2"/>
    </x:row>
    <x:row r="3">
      <x:c r="A3" s="15" t="str">
        <x:v>Parameter</x:v>
      </x:c>
      <x:c r="B3" s="15" t="str">
        <x:v>Nominal</x:v>
      </x:c>
      <x:c r="C3" s="15" t="str">
        <x:v>Low</x:v>
      </x:c>
      <x:c r="D3" s="15" t="str">
        <x:v>High</x:v>
      </x:c>
      <x:c r="E3" s="15" t="str">
        <x:v>Units</x:v>
      </x:c>
      <x:c r="F3" s="15" t="str">
        <x:v>Notes</x:v>
      </x:c>
      <x:c r="G3" s="2"/>
      <x:c r="H3" s="2"/>
      <x:c r="I3" s="2"/>
      <x:c r="J3" s="2"/>
      <x:c r="K3" s="2"/>
      <x:c r="L3" s="2"/>
      <x:c r="M3" s="2"/>
      <x:c r="N3" s="2"/>
      <x:c r="O3" s="2"/>
      <x:c r="P3" s="2"/>
      <x:c r="Q3" s="2"/>
    </x:row>
    <x:row r="4">
      <x:c r="A4" s="2" t="str">
        <x:v>Crew count</x:v>
      </x:c>
      <x:c r="B4" s="20" t="n">
        <x:v>6</x:v>
      </x:c>
      <x:c r="C4" s="20" t="n">
        <x:v>6</x:v>
      </x:c>
      <x:c r="D4" s="20" t="n">
        <x:v>12</x:v>
      </x:c>
      <x:c r="E4" s="2" t="str">
        <x:v>persons</x:v>
      </x:c>
      <x:c r="F4" s="2" t="str">
        <x:v>Nominal early mission case</x:v>
      </x:c>
      <x:c r="G4" s="2"/>
      <x:c r="H4" s="2"/>
      <x:c r="I4" s="2"/>
      <x:c r="J4" s="2"/>
      <x:c r="K4" s="2"/>
      <x:c r="L4" s="2"/>
      <x:c r="M4" s="2"/>
      <x:c r="N4" s="2"/>
      <x:c r="O4" s="2"/>
      <x:c r="P4" s="2"/>
      <x:c r="Q4" s="2"/>
    </x:row>
    <x:row r="5">
      <x:c r="A5" s="2" t="str">
        <x:v>Average station load</x:v>
      </x:c>
      <x:c r="B5" s="20" t="n">
        <x:v>12.5</x:v>
      </x:c>
      <x:c r="C5" s="20" t="n">
        <x:v>10</x:v>
      </x:c>
      <x:c r="D5" s="20" t="n">
        <x:v>17.5</x:v>
      </x:c>
      <x:c r="E5" s="2" t="str">
        <x:v>kW</x:v>
      </x:c>
      <x:c r="F5" s="2" t="str">
        <x:v>v3 baseline = 300 kWh/day</x:v>
      </x:c>
      <x:c r="G5" s="2"/>
      <x:c r="H5" s="2"/>
      <x:c r="I5" s="2"/>
      <x:c r="J5" s="2"/>
      <x:c r="K5" s="2"/>
      <x:c r="L5" s="2"/>
      <x:c r="M5" s="2"/>
      <x:c r="N5" s="2"/>
      <x:c r="O5" s="2"/>
      <x:c r="P5" s="2"/>
      <x:c r="Q5" s="2"/>
    </x:row>
    <x:row r="6">
      <x:c r="A6" s="2" t="str">
        <x:v>Peak multiplier</x:v>
      </x:c>
      <x:c r="B6" s="20" t="n">
        <x:v>1.65</x:v>
      </x:c>
      <x:c r="C6" s="20" t="n">
        <x:v>1.4</x:v>
      </x:c>
      <x:c r="D6" s="20" t="n">
        <x:v>2</x:v>
      </x:c>
      <x:c r="E6" s="2" t="str">
        <x:v>x</x:v>
      </x:c>
      <x:c r="F6" s="2" t="str">
        <x:v>Short-duration concurrency</x:v>
      </x:c>
      <x:c r="G6" s="2"/>
      <x:c r="H6" s="2"/>
      <x:c r="I6" s="2"/>
      <x:c r="J6" s="2"/>
      <x:c r="K6" s="2"/>
      <x:c r="L6" s="2"/>
      <x:c r="M6" s="2"/>
      <x:c r="N6" s="2"/>
      <x:c r="O6" s="2"/>
      <x:c r="P6" s="2"/>
      <x:c r="Q6" s="2"/>
    </x:row>
    <x:row r="7">
      <x:c r="A7" s="2" t="str">
        <x:v>Solar installed</x:v>
      </x:c>
      <x:c r="B7" s="20" t="n">
        <x:v>20</x:v>
      </x:c>
      <x:c r="C7" s="20" t="n">
        <x:v>10</x:v>
      </x:c>
      <x:c r="D7" s="20" t="n">
        <x:v>50</x:v>
      </x:c>
      <x:c r="E7" s="2" t="str">
        <x:v>kW</x:v>
      </x:c>
      <x:c r="F7" s="2" t="str">
        <x:v>Early vertical solar architecture</x:v>
      </x:c>
      <x:c r="G7" s="2"/>
      <x:c r="H7" s="2"/>
      <x:c r="I7" s="2"/>
      <x:c r="J7" s="2"/>
      <x:c r="K7" s="2"/>
      <x:c r="L7" s="2"/>
      <x:c r="M7" s="2"/>
      <x:c r="N7" s="2"/>
      <x:c r="O7" s="2"/>
      <x:c r="P7" s="2"/>
      <x:c r="Q7" s="2"/>
    </x:row>
    <x:row r="8">
      <x:c r="A8" s="2" t="str">
        <x:v>Solar average availability</x:v>
      </x:c>
      <x:c r="B8" s="20" t="n">
        <x:v>0.85</x:v>
      </x:c>
      <x:c r="C8" s="20" t="n">
        <x:v>0.7</x:v>
      </x:c>
      <x:c r="D8" s="20" t="n">
        <x:v>0.9</x:v>
      </x:c>
      <x:c r="E8" s="2" t="str">
        <x:v>fraction</x:v>
      </x:c>
      <x:c r="F8" s="2" t="str">
        <x:v>Shackleton high-illumination planning case; replace with site-specific horizon/season profile when available</x:v>
      </x:c>
      <x:c r="G8" s="2"/>
      <x:c r="H8" s="2"/>
      <x:c r="I8" s="2"/>
      <x:c r="J8" s="2"/>
      <x:c r="K8" s="2"/>
      <x:c r="L8" s="2"/>
      <x:c r="M8" s="2"/>
      <x:c r="N8" s="2"/>
      <x:c r="O8" s="2"/>
      <x:c r="P8" s="2"/>
      <x:c r="Q8" s="2"/>
    </x:row>
    <x:row r="9">
      <x:c r="A9" s="2" t="str">
        <x:v>Battery installed</x:v>
      </x:c>
      <x:c r="B9" s="20" t="n">
        <x:v>118.5</x:v>
      </x:c>
      <x:c r="C9" s="20" t="n">
        <x:v>80</x:v>
      </x:c>
      <x:c r="D9" s="20" t="n">
        <x:v>200</x:v>
      </x:c>
      <x:c r="E9" s="2" t="str">
        <x:v>kWh</x:v>
      </x:c>
      <x:c r="F9" s="2" t="str">
        <x:v>6-crew critical-load target from v3</x:v>
      </x:c>
      <x:c r="G9" s="2"/>
      <x:c r="H9" s="2"/>
      <x:c r="I9" s="2"/>
      <x:c r="J9" s="2"/>
      <x:c r="K9" s="2"/>
      <x:c r="L9" s="2"/>
      <x:c r="M9" s="2"/>
      <x:c r="N9" s="2"/>
      <x:c r="O9" s="2"/>
      <x:c r="P9" s="2"/>
      <x:c r="Q9" s="2"/>
    </x:row>
    <x:row r="10">
      <x:c r="A10" s="2" t="str">
        <x:v>Battery usable fraction</x:v>
      </x:c>
      <x:c r="B10" s="20" t="n">
        <x:v>0.8</x:v>
      </x:c>
      <x:c r="C10" s="20" t="n">
        <x:v>0.6</x:v>
      </x:c>
      <x:c r="D10" s="20" t="n">
        <x:v>0.9</x:v>
      </x:c>
      <x:c r="E10" s="2" t="str">
        <x:v>fraction</x:v>
      </x:c>
      <x:c r="F10" s="2" t="str">
        <x:v>Operating DoD reserve</x:v>
      </x:c>
      <x:c r="G10" s="2"/>
      <x:c r="H10" s="2"/>
      <x:c r="I10" s="2"/>
      <x:c r="J10" s="2"/>
      <x:c r="K10" s="2"/>
      <x:c r="L10" s="2"/>
      <x:c r="M10" s="2"/>
      <x:c r="N10" s="2"/>
      <x:c r="O10" s="2"/>
      <x:c r="P10" s="2"/>
      <x:c r="Q10" s="2"/>
    </x:row>
    <x:row r="11">
      <x:c r="A11" s="2" t="str">
        <x:v>Fission rated</x:v>
      </x:c>
      <x:c r="B11" s="20" t="n">
        <x:v>40</x:v>
      </x:c>
      <x:c r="C11" s="20" t="n">
        <x:v>0</x:v>
      </x:c>
      <x:c r="D11" s="20" t="n">
        <x:v>40</x:v>
      </x:c>
      <x:c r="E11" s="2" t="str">
        <x:v>kW</x:v>
      </x:c>
      <x:c r="F11" s="2" t="str">
        <x:v>Set to zero for pre-fission missions</x:v>
      </x:c>
      <x:c r="G11" s="2"/>
      <x:c r="H11" s="2"/>
      <x:c r="I11" s="2"/>
      <x:c r="J11" s="2"/>
      <x:c r="K11" s="2"/>
      <x:c r="L11" s="2"/>
      <x:c r="M11" s="2"/>
      <x:c r="N11" s="2"/>
      <x:c r="O11" s="2"/>
      <x:c r="P11" s="2"/>
      <x:c r="Q11" s="2"/>
    </x:row>
    <x:row r="12">
      <x:c r="A12" s="2" t="str">
        <x:v>Fission availability</x:v>
      </x:c>
      <x:c r="B12" s="20" t="n">
        <x:v>0.95</x:v>
      </x:c>
      <x:c r="C12" s="20" t="n">
        <x:v>0.85</x:v>
      </x:c>
      <x:c r="D12" s="20" t="n">
        <x:v>0.98</x:v>
      </x:c>
      <x:c r="E12" s="2" t="str">
        <x:v>fraction</x:v>
      </x:c>
      <x:c r="F12" s="2" t="str">
        <x:v>Model assumption</x:v>
      </x:c>
      <x:c r="G12" s="2"/>
      <x:c r="H12" s="2"/>
      <x:c r="I12" s="2"/>
      <x:c r="J12" s="2"/>
      <x:c r="K12" s="2"/>
      <x:c r="L12" s="2"/>
      <x:c r="M12" s="2"/>
      <x:c r="N12" s="2"/>
      <x:c r="O12" s="2"/>
      <x:c r="P12" s="2"/>
      <x:c r="Q12" s="2"/>
    </x:row>
    <x:row r="13">
      <x:c r="A13" s="2" t="str">
        <x:v>Thermal bank regolith mass</x:v>
      </x:c>
      <x:c r="B13" s="20" t="n">
        <x:v>10000</x:v>
      </x:c>
      <x:c r="C13" s="20" t="n">
        <x:v>2000</x:v>
      </x:c>
      <x:c r="D13" s="20" t="n">
        <x:v>50000</x:v>
      </x:c>
      <x:c r="E13" s="2" t="str">
        <x:v>kg</x:v>
      </x:c>
      <x:c r="F13" s="2" t="str">
        <x:v>Local mass; not landed from Earth</x:v>
      </x:c>
      <x:c r="G13" s="2"/>
      <x:c r="H13" s="2"/>
      <x:c r="I13" s="2"/>
      <x:c r="J13" s="2"/>
      <x:c r="K13" s="2"/>
      <x:c r="L13" s="2"/>
      <x:c r="M13" s="2"/>
      <x:c r="N13" s="2"/>
      <x:c r="O13" s="2"/>
      <x:c r="P13" s="2"/>
      <x:c r="Q13" s="2"/>
    </x:row>
    <x:row r="14">
      <x:c r="A14" s="2" t="str">
        <x:v>Regolith effective cp</x:v>
      </x:c>
      <x:c r="B14" s="20" t="n">
        <x:v>700</x:v>
      </x:c>
      <x:c r="C14" s="20" t="n">
        <x:v>500</x:v>
      </x:c>
      <x:c r="D14" s="20" t="n">
        <x:v>900</x:v>
      </x:c>
      <x:c r="E14" s="2" t="str">
        <x:v>J/kg-K</x:v>
      </x:c>
      <x:c r="F14" s="2" t="str">
        <x:v>Planning value</x:v>
      </x:c>
      <x:c r="G14" s="2"/>
      <x:c r="H14" s="2"/>
      <x:c r="I14" s="2"/>
      <x:c r="J14" s="2"/>
      <x:c r="K14" s="2"/>
      <x:c r="L14" s="2"/>
      <x:c r="M14" s="2"/>
      <x:c r="N14" s="2"/>
      <x:c r="O14" s="2"/>
      <x:c r="P14" s="2"/>
      <x:c r="Q14" s="2"/>
    </x:row>
    <x:row r="15">
      <x:c r="A15" s="2" t="str">
        <x:v>Thermal bank usable ΔT</x:v>
      </x:c>
      <x:c r="B15" s="20" t="n">
        <x:v>50</x:v>
      </x:c>
      <x:c r="C15" s="20" t="n">
        <x:v>20</x:v>
      </x:c>
      <x:c r="D15" s="20" t="n">
        <x:v>100</x:v>
      </x:c>
      <x:c r="E15" s="2" t="str">
        <x:v>K</x:v>
      </x:c>
      <x:c r="F15" s="2" t="str">
        <x:v>Temperature swing</x:v>
      </x:c>
      <x:c r="G15" s="2"/>
      <x:c r="H15" s="2"/>
      <x:c r="I15" s="2"/>
      <x:c r="J15" s="2"/>
      <x:c r="K15" s="2"/>
      <x:c r="L15" s="2"/>
      <x:c r="M15" s="2"/>
      <x:c r="N15" s="2"/>
      <x:c r="O15" s="2"/>
      <x:c r="P15" s="2"/>
      <x:c r="Q15" s="2"/>
    </x:row>
    <x:row r="16">
      <x:c r="A16" s="2" t="str">
        <x:v>Thermal charge efficiency</x:v>
      </x:c>
      <x:c r="B16" s="20" t="n">
        <x:v>0.8</x:v>
      </x:c>
      <x:c r="C16" s="20" t="n">
        <x:v>0.6</x:v>
      </x:c>
      <x:c r="D16" s="20" t="n">
        <x:v>0.9</x:v>
      </x:c>
      <x:c r="E16" s="2" t="str">
        <x:v>fraction</x:v>
      </x:c>
      <x:c r="F16" s="2" t="str">
        <x:v>Heat exchanger / storage effectiveness</x:v>
      </x:c>
      <x:c r="G16" s="2"/>
      <x:c r="H16" s="2"/>
      <x:c r="I16" s="2"/>
      <x:c r="J16" s="2"/>
      <x:c r="K16" s="2"/>
      <x:c r="L16" s="2"/>
      <x:c r="M16" s="2"/>
      <x:c r="N16" s="2"/>
      <x:c r="O16" s="2"/>
      <x:c r="P16" s="2"/>
      <x:c r="Q16" s="2"/>
    </x:row>
    <x:row r="17">
      <x:c r="A17" s="2" t="str">
        <x:v>Thermal recovery efficiency</x:v>
      </x:c>
      <x:c r="B17" s="20" t="n">
        <x:v>0.65</x:v>
      </x:c>
      <x:c r="C17" s="20" t="n">
        <x:v>0.4</x:v>
      </x:c>
      <x:c r="D17" s="20" t="n">
        <x:v>0.8</x:v>
      </x:c>
      <x:c r="E17" s="2" t="str">
        <x:v>fraction</x:v>
      </x:c>
      <x:c r="F17" s="2" t="str">
        <x:v>Heat returned to useful thermal loads</x:v>
      </x:c>
      <x:c r="G17" s="2"/>
      <x:c r="H17" s="2"/>
      <x:c r="I17" s="2"/>
      <x:c r="J17" s="2"/>
      <x:c r="K17" s="2"/>
      <x:c r="L17" s="2"/>
      <x:c r="M17" s="2"/>
      <x:c r="N17" s="2"/>
      <x:c r="O17" s="2"/>
      <x:c r="P17" s="2"/>
      <x:c r="Q17" s="2"/>
    </x:row>
    <x:row r="18">
      <x:c r="A18" s="2" t="str">
        <x:v>Graywater loop landed mass</x:v>
      </x:c>
      <x:c r="B18" s="20" t="n">
        <x:v>120</x:v>
      </x:c>
      <x:c r="C18" s="20" t="n">
        <x:v>60</x:v>
      </x:c>
      <x:c r="D18" s="20" t="n">
        <x:v>300</x:v>
      </x:c>
      <x:c r="E18" s="2" t="str">
        <x:v>kg</x:v>
      </x:c>
      <x:c r="F18" s="2" t="str">
        <x:v>Pumps, HX, piping, controls; editable</x:v>
      </x:c>
      <x:c r="G18" s="2"/>
      <x:c r="H18" s="2"/>
      <x:c r="I18" s="2"/>
      <x:c r="J18" s="2"/>
      <x:c r="K18" s="2"/>
      <x:c r="L18" s="2"/>
      <x:c r="M18" s="2"/>
      <x:c r="N18" s="2"/>
      <x:c r="O18" s="2"/>
      <x:c r="P18" s="2"/>
      <x:c r="Q18" s="2"/>
    </x:row>
    <x:row r="19">
      <x:c r="A19" s="2" t="str">
        <x:v>Thermal-bank hardware mass</x:v>
      </x:c>
      <x:c r="B19" s="20" t="n">
        <x:v>180</x:v>
      </x:c>
      <x:c r="C19" s="20" t="n">
        <x:v>80</x:v>
      </x:c>
      <x:c r="D19" s="20" t="n">
        <x:v>500</x:v>
      </x:c>
      <x:c r="E19" s="2" t="str">
        <x:v>kg</x:v>
      </x:c>
      <x:c r="F19" s="2" t="str">
        <x:v>Buried HX field/manifold/insulation; editable</x:v>
      </x:c>
      <x:c r="G19" s="2"/>
      <x:c r="H19" s="2"/>
      <x:c r="I19" s="2"/>
      <x:c r="J19" s="2"/>
      <x:c r="K19" s="2"/>
      <x:c r="L19" s="2"/>
      <x:c r="M19" s="2"/>
      <x:c r="N19" s="2"/>
      <x:c r="O19" s="2"/>
      <x:c r="P19" s="2"/>
      <x:c r="Q19" s="2"/>
    </x:row>
    <x:row r="20">
      <x:c r="A20" s="2" t="str">
        <x:v>Battery specific energy</x:v>
      </x:c>
      <x:c r="B20" s="20" t="n">
        <x:v>160</x:v>
      </x:c>
      <x:c r="C20" s="20" t="n">
        <x:v>120</x:v>
      </x:c>
      <x:c r="D20" s="20" t="n">
        <x:v>220</x:v>
      </x:c>
      <x:c r="E20" s="2" t="str">
        <x:v>Wh/kg</x:v>
      </x:c>
      <x:c r="F20" s="2" t="str">
        <x:v>Pack-level planning value</x:v>
      </x:c>
      <x:c r="G20" s="2"/>
      <x:c r="H20" s="2"/>
      <x:c r="I20" s="2"/>
      <x:c r="J20" s="2"/>
      <x:c r="K20" s="2"/>
      <x:c r="L20" s="2"/>
      <x:c r="M20" s="2"/>
      <x:c r="N20" s="2"/>
      <x:c r="O20" s="2"/>
      <x:c r="P20" s="2"/>
      <x:c r="Q20" s="2"/>
    </x:row>
    <x:row r="21">
      <x:c r="A21" s="2" t="str">
        <x:v>Solar system specific power</x:v>
      </x:c>
      <x:c r="B21" s="20" t="n">
        <x:v>80</x:v>
      </x:c>
      <x:c r="C21" s="20" t="n">
        <x:v>50</x:v>
      </x:c>
      <x:c r="D21" s="20" t="n">
        <x:v>120</x:v>
      </x:c>
      <x:c r="E21" s="2" t="str">
        <x:v>W/kg</x:v>
      </x:c>
      <x:c r="F21" s="2" t="str">
        <x:v>Array + deployment planning value</x:v>
      </x:c>
      <x:c r="G21" s="2"/>
      <x:c r="H21" s="2"/>
      <x:c r="I21" s="2"/>
      <x:c r="J21" s="2"/>
      <x:c r="K21" s="2"/>
      <x:c r="L21" s="2"/>
      <x:c r="M21" s="2"/>
      <x:c r="N21" s="2"/>
      <x:c r="O21" s="2"/>
      <x:c r="P21" s="2"/>
      <x:c r="Q21" s="2"/>
    </x:row>
    <x:row r="22">
      <x:c r="A22" s="2" t="str">
        <x:v>Fission system specific power</x:v>
      </x:c>
      <x:c r="B22" s="20" t="n">
        <x:v>10</x:v>
      </x:c>
      <x:c r="C22" s="20" t="n">
        <x:v>5</x:v>
      </x:c>
      <x:c r="D22" s="20" t="n">
        <x:v>20</x:v>
      </x:c>
      <x:c r="E22" s="2" t="str">
        <x:v>W/kg</x:v>
      </x:c>
      <x:c r="F22" s="2" t="str">
        <x:v>Highly mission-dependent; placeholder</x:v>
      </x:c>
      <x:c r="G22" s="2"/>
      <x:c r="H22" s="2"/>
      <x:c r="I22" s="2"/>
      <x:c r="J22" s="2"/>
      <x:c r="K22" s="2"/>
      <x:c r="L22" s="2"/>
      <x:c r="M22" s="2"/>
      <x:c r="N22" s="2"/>
      <x:c r="O22" s="2"/>
      <x:c r="P22" s="2"/>
      <x:c r="Q22" s="2"/>
    </x:row>
    <x:row r="23">
      <x:c r="A23" s="2" t="str">
        <x:v>PMAD + node allowance</x:v>
      </x:c>
      <x:c r="B23" s="20" t="n">
        <x:v>400</x:v>
      </x:c>
      <x:c r="C23" s="20" t="n">
        <x:v>250</x:v>
      </x:c>
      <x:c r="D23" s="20" t="n">
        <x:v>800</x:v>
      </x:c>
      <x:c r="E23" s="2" t="str">
        <x:v>kg</x:v>
      </x:c>
      <x:c r="F23" s="2" t="str">
        <x:v>Converters, switchgear, node hardware</x:v>
      </x:c>
      <x:c r="G23" s="2"/>
      <x:c r="H23" s="2"/>
      <x:c r="I23" s="2"/>
      <x:c r="J23" s="2"/>
      <x:c r="K23" s="2"/>
      <x:c r="L23" s="2"/>
      <x:c r="M23" s="2"/>
      <x:c r="N23" s="2"/>
      <x:c r="O23" s="2"/>
      <x:c r="P23" s="2"/>
      <x:c r="Q23" s="2"/>
    </x:row>
    <x:row r="24">
      <x:c r="A24" s="2" t="str">
        <x:v>Early landed power-system mass cap</x:v>
      </x:c>
      <x:c r="B24" s="20" t="n">
        <x:v>3500</x:v>
      </x:c>
      <x:c r="C24" s="20" t="n">
        <x:v>2000</x:v>
      </x:c>
      <x:c r="D24" s="20" t="n">
        <x:v>6000</x:v>
      </x:c>
      <x:c r="E24" s="2" t="str">
        <x:v>kg</x:v>
      </x:c>
      <x:c r="F24" s="2" t="str">
        <x:v>Editable mission allocation</x:v>
      </x:c>
      <x:c r="G24" s="2"/>
      <x:c r="H24" s="2"/>
      <x:c r="I24" s="2"/>
      <x:c r="J24" s="2"/>
      <x:c r="K24" s="2"/>
      <x:c r="L24" s="2"/>
      <x:c r="M24" s="2"/>
      <x:c r="N24" s="2"/>
      <x:c r="O24" s="2"/>
      <x:c r="P24" s="2"/>
      <x:c r="Q24" s="2"/>
    </x:row>
    <x:row r="25">
      <x:c r="A25" s="2" t="str">
        <x:v>Critical load</x:v>
      </x:c>
      <x:c r="B25" s="20" t="n">
        <x:v>7.9</x:v>
      </x:c>
      <x:c r="C25" s="20" t="n">
        <x:v>6.5</x:v>
      </x:c>
      <x:c r="D25" s="20" t="n">
        <x:v>10.6</x:v>
      </x:c>
      <x:c r="E25" s="2" t="str">
        <x:v>kW</x:v>
      </x:c>
      <x:c r="F25" s="2" t="str">
        <x:v>v3 nominal 6-crew critical load</x:v>
      </x:c>
      <x:c r="G25" s="2"/>
      <x:c r="H25" s="2"/>
      <x:c r="I25" s="2"/>
      <x:c r="J25" s="2"/>
      <x:c r="K25" s="2"/>
      <x:c r="L25" s="2"/>
      <x:c r="M25" s="2"/>
      <x:c r="N25" s="2"/>
      <x:c r="O25" s="2"/>
      <x:c r="P25" s="2"/>
      <x:c r="Q25" s="2"/>
    </x:row>
    <x:row r="26">
      <x:c r="A26" s="2" t="str">
        <x:v>Critical autonomy target</x:v>
      </x:c>
      <x:c r="B26" s="20" t="n">
        <x:v>12</x:v>
      </x:c>
      <x:c r="C26" s="20" t="n">
        <x:v>6</x:v>
      </x:c>
      <x:c r="D26" s="20" t="n">
        <x:v>24</x:v>
      </x:c>
      <x:c r="E26" s="2" t="str">
        <x:v>h</x:v>
      </x:c>
      <x:c r="F26" s="2" t="str">
        <x:v>Battery-supported survival target</x:v>
      </x:c>
      <x:c r="G26" s="2"/>
      <x:c r="H26" s="2"/>
      <x:c r="I26" s="2"/>
      <x:c r="J26" s="2"/>
      <x:c r="K26" s="2"/>
      <x:c r="L26" s="2"/>
      <x:c r="M26" s="2"/>
      <x:c r="N26" s="2"/>
      <x:c r="O26" s="2"/>
      <x:c r="P26" s="2"/>
      <x:c r="Q26" s="2"/>
    </x:row>
    <x:row r="27">
      <x:c r="A27" s="2"/>
      <x:c r="B27" s="2"/>
      <x:c r="C27" s="2"/>
      <x:c r="D27" s="2"/>
      <x:c r="E27" s="2"/>
      <x:c r="F27" s="2"/>
      <x:c r="G27" s="2"/>
      <x:c r="H27" s="2"/>
      <x:c r="I27" s="2"/>
      <x:c r="J27" s="2"/>
      <x:c r="K27" s="2"/>
      <x:c r="L27" s="2"/>
      <x:c r="M27" s="2"/>
      <x:c r="N27" s="2"/>
      <x:c r="O27" s="2"/>
      <x:c r="P27" s="2"/>
      <x:c r="Q27" s="2"/>
    </x:row>
    <x:row r="28">
      <x:c r="A28" s="2"/>
      <x:c r="B28" s="2"/>
      <x:c r="C28" s="2"/>
      <x:c r="D28" s="2"/>
      <x:c r="E28" s="2"/>
      <x:c r="F28" s="2"/>
      <x:c r="G28" s="2"/>
      <x:c r="H28" s="2"/>
      <x:c r="I28" s="2"/>
      <x:c r="J28" s="2"/>
      <x:c r="K28" s="2"/>
      <x:c r="L28" s="2"/>
      <x:c r="M28" s="2"/>
      <x:c r="N28" s="2"/>
      <x:c r="O28" s="2"/>
      <x:c r="P28" s="2"/>
      <x:c r="Q28" s="2"/>
    </x:row>
    <x:row r="29">
      <x:c r="A29" s="2"/>
      <x:c r="B29" s="2"/>
      <x:c r="C29" s="2"/>
      <x:c r="D29" s="2"/>
      <x:c r="E29" s="2"/>
      <x:c r="F29" s="2"/>
      <x:c r="G29" s="2"/>
      <x:c r="H29" s="2"/>
      <x:c r="I29" s="2"/>
      <x:c r="J29" s="2"/>
      <x:c r="K29" s="2"/>
      <x:c r="L29" s="2"/>
      <x:c r="M29" s="2"/>
      <x:c r="N29" s="2"/>
      <x:c r="O29" s="2"/>
      <x:c r="P29" s="2"/>
      <x:c r="Q29" s="2"/>
    </x:row>
    <x:row r="30">
      <x:c r="A30" s="2"/>
      <x:c r="B30" s="2"/>
      <x:c r="C30" s="2"/>
      <x:c r="D30" s="2"/>
      <x:c r="E30" s="2"/>
      <x:c r="F30" s="2"/>
      <x:c r="G30" s="2"/>
      <x:c r="H30" s="2"/>
      <x:c r="I30" s="2"/>
      <x:c r="J30" s="2"/>
      <x:c r="K30" s="2"/>
      <x:c r="L30" s="2"/>
      <x:c r="M30" s="2"/>
      <x:c r="N30" s="2"/>
      <x:c r="O30" s="2"/>
      <x:c r="P30" s="2"/>
      <x:c r="Q30" s="2"/>
    </x:row>
    <x:row r="31">
      <x:c r="A31" s="2"/>
      <x:c r="B31" s="2"/>
      <x:c r="C31" s="2"/>
      <x:c r="D31" s="2"/>
      <x:c r="E31" s="2"/>
      <x:c r="F31" s="2"/>
      <x:c r="G31" s="2"/>
      <x:c r="H31" s="2"/>
      <x:c r="I31" s="2"/>
      <x:c r="J31" s="2"/>
      <x:c r="K31" s="2"/>
      <x:c r="L31" s="2"/>
      <x:c r="M31" s="2"/>
      <x:c r="N31" s="2"/>
      <x:c r="O31" s="2"/>
      <x:c r="P31" s="2"/>
      <x:c r="Q31" s="2"/>
    </x:row>
    <x:row r="32">
      <x:c r="A32" s="2"/>
      <x:c r="B32" s="2"/>
      <x:c r="C32" s="2"/>
      <x:c r="D32" s="2"/>
      <x:c r="E32" s="2"/>
      <x:c r="F32" s="2"/>
      <x:c r="G32" s="2"/>
      <x:c r="H32" s="2"/>
      <x:c r="I32" s="2"/>
      <x:c r="J32" s="2"/>
      <x:c r="K32" s="2"/>
      <x:c r="L32" s="2"/>
      <x:c r="M32" s="2"/>
      <x:c r="N32" s="2"/>
      <x:c r="O32" s="2"/>
      <x:c r="P32" s="2"/>
      <x:c r="Q32" s="2"/>
    </x:row>
    <x:row r="33">
      <x:c r="A33" s="2"/>
      <x:c r="B33" s="2"/>
      <x:c r="C33" s="2"/>
      <x:c r="D33" s="2"/>
      <x:c r="E33" s="2"/>
      <x:c r="F33" s="2"/>
      <x:c r="G33" s="2"/>
      <x:c r="H33" s="2"/>
      <x:c r="I33" s="2"/>
      <x:c r="J33" s="2"/>
      <x:c r="K33" s="2"/>
      <x:c r="L33" s="2"/>
      <x:c r="M33" s="2"/>
      <x:c r="N33" s="2"/>
      <x:c r="O33" s="2"/>
      <x:c r="P33" s="2"/>
      <x:c r="Q33" s="2"/>
    </x:row>
    <x:row r="34">
      <x:c r="A34" s="2"/>
      <x:c r="B34" s="2"/>
      <x:c r="C34" s="2"/>
      <x:c r="D34" s="2"/>
      <x:c r="E34" s="2"/>
      <x:c r="F34" s="2"/>
      <x:c r="G34" s="2"/>
      <x:c r="H34" s="2"/>
      <x:c r="I34" s="2"/>
      <x:c r="J34" s="2"/>
      <x:c r="K34" s="2"/>
      <x:c r="L34" s="2"/>
      <x:c r="M34" s="2"/>
      <x:c r="N34" s="2"/>
      <x:c r="O34" s="2"/>
      <x:c r="P34" s="2"/>
      <x:c r="Q34" s="2"/>
    </x:row>
    <x:row r="35">
      <x:c r="A35" s="2"/>
      <x:c r="B35" s="2"/>
      <x:c r="C35" s="2"/>
      <x:c r="D35" s="2"/>
      <x:c r="E35" s="2"/>
      <x:c r="F35" s="2"/>
      <x:c r="G35" s="2"/>
      <x:c r="H35" s="2"/>
      <x:c r="I35" s="2"/>
      <x:c r="J35" s="2"/>
      <x:c r="K35" s="2"/>
      <x:c r="L35" s="2"/>
      <x:c r="M35" s="2"/>
      <x:c r="N35" s="2"/>
      <x:c r="O35" s="2"/>
      <x:c r="P35" s="2"/>
      <x:c r="Q35" s="2"/>
    </x:row>
    <x:row r="36">
      <x:c r="A36" s="2"/>
      <x:c r="B36" s="2"/>
      <x:c r="C36" s="2"/>
      <x:c r="D36" s="2"/>
      <x:c r="E36" s="2"/>
      <x:c r="F36" s="2"/>
      <x:c r="G36" s="2"/>
      <x:c r="H36" s="2"/>
      <x:c r="I36" s="2"/>
      <x:c r="J36" s="2"/>
      <x:c r="K36" s="2"/>
      <x:c r="L36" s="2"/>
      <x:c r="M36" s="2"/>
      <x:c r="N36" s="2"/>
      <x:c r="O36" s="2"/>
      <x:c r="P36" s="2"/>
      <x:c r="Q36" s="2"/>
    </x:row>
    <x:row r="37">
      <x:c r="A37" s="2"/>
      <x:c r="B37" s="2"/>
      <x:c r="C37" s="2"/>
      <x:c r="D37" s="2"/>
      <x:c r="E37" s="2"/>
      <x:c r="F37" s="2"/>
      <x:c r="G37" s="2"/>
      <x:c r="H37" s="2"/>
      <x:c r="I37" s="2"/>
      <x:c r="J37" s="2"/>
      <x:c r="K37" s="2"/>
      <x:c r="L37" s="2"/>
      <x:c r="M37" s="2"/>
      <x:c r="N37" s="2"/>
      <x:c r="O37" s="2"/>
      <x:c r="P37" s="2"/>
      <x:c r="Q37" s="2"/>
    </x:row>
    <x:row r="38">
      <x:c r="A38" s="2"/>
      <x:c r="B38" s="2"/>
      <x:c r="C38" s="2"/>
      <x:c r="D38" s="2"/>
      <x:c r="E38" s="2"/>
      <x:c r="F38" s="2"/>
      <x:c r="G38" s="2"/>
      <x:c r="H38" s="2"/>
      <x:c r="I38" s="2"/>
      <x:c r="J38" s="2"/>
      <x:c r="K38" s="2"/>
      <x:c r="L38" s="2"/>
      <x:c r="M38" s="2"/>
      <x:c r="N38" s="2"/>
      <x:c r="O38" s="2"/>
      <x:c r="P38" s="2"/>
      <x:c r="Q38" s="2"/>
    </x:row>
    <x:row r="39">
      <x:c r="A39" s="2"/>
      <x:c r="B39" s="2"/>
      <x:c r="C39" s="2"/>
      <x:c r="D39" s="2"/>
      <x:c r="E39" s="2"/>
      <x:c r="F39" s="2"/>
      <x:c r="G39" s="2"/>
      <x:c r="H39" s="2"/>
      <x:c r="I39" s="2"/>
      <x:c r="J39" s="2"/>
      <x:c r="K39" s="2"/>
      <x:c r="L39" s="2"/>
      <x:c r="M39" s="2"/>
      <x:c r="N39" s="2"/>
      <x:c r="O39" s="2"/>
      <x:c r="P39" s="2"/>
      <x:c r="Q39" s="2"/>
    </x:row>
    <x:row r="40">
      <x:c r="A40" s="2"/>
      <x:c r="B40" s="2"/>
      <x:c r="C40" s="2"/>
      <x:c r="D40" s="2"/>
      <x:c r="E40" s="2"/>
      <x:c r="F40" s="2"/>
      <x:c r="G40" s="2"/>
      <x:c r="H40" s="2"/>
      <x:c r="I40" s="2"/>
      <x:c r="J40" s="2"/>
      <x:c r="K40" s="2"/>
      <x:c r="L40" s="2"/>
      <x:c r="M40" s="2"/>
      <x:c r="N40" s="2"/>
      <x:c r="O40" s="2"/>
      <x:c r="P40" s="2"/>
      <x:c r="Q40" s="2"/>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34" hidden="0" customWidth="1"/>
    <x:col min="2" max="2" width="18" hidden="0" customWidth="1"/>
    <x:col min="4" max="4" width="24" hidden="0" customWidth="1"/>
    <x:col min="5" max="5" width="24" hidden="0" customWidth="1"/>
    <x:col min="6" max="6" width="42" hidden="0" customWidth="1"/>
  </x:cols>
  <x:sheetData>
    <x:row r="1">
      <x:c r="A1" s="7" t="str">
        <x:v>Thermal Bank Sizing — Regolith + Closed Graywater Heat-Transfer Loop</x:v>
      </x:c>
      <x:c r="B1" s="7"/>
      <x:c r="C1" s="7"/>
      <x:c r="D1" s="7"/>
      <x:c r="E1" s="7"/>
      <x:c r="F1" s="7"/>
      <x:c r="G1" s="2"/>
      <x:c r="H1" s="2"/>
      <x:c r="I1" s="2"/>
      <x:c r="J1" s="2"/>
      <x:c r="K1" s="2"/>
      <x:c r="L1" s="2"/>
      <x:c r="M1" s="2"/>
      <x:c r="N1" s="2"/>
      <x:c r="O1" s="2"/>
      <x:c r="P1" s="2"/>
      <x:c r="Q1" s="2"/>
    </x:row>
    <x:row r="2">
      <x:c r="A2" s="2"/>
      <x:c r="B2" s="2"/>
      <x:c r="C2" s="2"/>
      <x:c r="D2" s="2"/>
      <x:c r="E2" s="2"/>
      <x:c r="F2" s="2"/>
      <x:c r="G2" s="2"/>
      <x:c r="H2" s="2"/>
      <x:c r="I2" s="2"/>
      <x:c r="J2" s="2"/>
      <x:c r="K2" s="2"/>
      <x:c r="L2" s="2"/>
      <x:c r="M2" s="2"/>
      <x:c r="N2" s="2"/>
      <x:c r="O2" s="2"/>
      <x:c r="P2" s="2"/>
      <x:c r="Q2" s="2"/>
    </x:row>
    <x:row r="3">
      <x:c r="A3" s="15" t="str">
        <x:v>Metric</x:v>
      </x:c>
      <x:c r="B3" s="15" t="str">
        <x:v>Value</x:v>
      </x:c>
      <x:c r="C3" s="2"/>
      <x:c r="D3" s="2" t="str">
        <x:v>Interpretation</x:v>
      </x:c>
      <x:c r="E3" s="2" t="str">
        <x:v>Formula basis</x:v>
      </x:c>
      <x:c r="F3" s="2" t="str">
        <x:v>Why it matters</x:v>
      </x:c>
      <x:c r="G3" s="2"/>
      <x:c r="H3" s="2"/>
      <x:c r="I3" s="2"/>
      <x:c r="J3" s="2"/>
      <x:c r="K3" s="2"/>
      <x:c r="L3" s="2"/>
      <x:c r="M3" s="2"/>
      <x:c r="N3" s="2"/>
      <x:c r="O3" s="2"/>
      <x:c r="P3" s="2"/>
      <x:c r="Q3" s="2"/>
    </x:row>
    <x:row r="4">
      <x:c r="A4" s="2" t="str">
        <x:v>Regolith mass kg</x:v>
      </x:c>
      <x:c r="B4" s="20" t="n">
        <x:f>Inputs!B13</x:f>
        <x:v>10000</x:v>
      </x:c>
      <x:c r="C4" s="2"/>
      <x:c r="D4" s="2" t="str">
        <x:v>Raw storage</x:v>
      </x:c>
      <x:c r="E4" s="2" t="str">
        <x:v>m·cp·ΔT</x:v>
      </x:c>
      <x:c r="F4" s="2" t="str">
        <x:v>Regolith contributes local thermal mass without launch mass</x:v>
      </x:c>
      <x:c r="G4" s="2"/>
      <x:c r="H4" s="2"/>
      <x:c r="I4" s="2"/>
      <x:c r="J4" s="2"/>
      <x:c r="K4" s="2"/>
      <x:c r="L4" s="2"/>
      <x:c r="M4" s="2"/>
      <x:c r="N4" s="2"/>
      <x:c r="O4" s="2"/>
      <x:c r="P4" s="2"/>
      <x:c r="Q4" s="2"/>
    </x:row>
    <x:row r="5">
      <x:c r="A5" s="2" t="str">
        <x:v>Specific heat J/kg-K</x:v>
      </x:c>
      <x:c r="B5" s="20" t="n">
        <x:f>Inputs!B14</x:f>
        <x:v>700</x:v>
      </x:c>
      <x:c r="C5" s="2"/>
      <x:c r="D5" s="2" t="str">
        <x:v>Usable storage</x:v>
      </x:c>
      <x:c r="E5" s="2" t="str">
        <x:v>Raw × charge efficiency</x:v>
      </x:c>
      <x:c r="F5" s="2" t="str">
        <x:v>Captures HX and storage losses</x:v>
      </x:c>
      <x:c r="G5" s="2"/>
      <x:c r="H5" s="2"/>
      <x:c r="I5" s="2"/>
      <x:c r="J5" s="2"/>
      <x:c r="K5" s="2"/>
      <x:c r="L5" s="2"/>
      <x:c r="M5" s="2"/>
      <x:c r="N5" s="2"/>
      <x:c r="O5" s="2"/>
      <x:c r="P5" s="2"/>
      <x:c r="Q5" s="2"/>
    </x:row>
    <x:row r="6">
      <x:c r="A6" s="2" t="str">
        <x:v>Usable ΔT K</x:v>
      </x:c>
      <x:c r="B6" s="20" t="n">
        <x:f>Inputs!B15</x:f>
        <x:v>50</x:v>
      </x:c>
      <x:c r="C6" s="2"/>
      <x:c r="D6" s="2" t="str">
        <x:v>Recoverable storage</x:v>
      </x:c>
      <x:c r="E6" s="2" t="str">
        <x:v>Usable × recovery efficiency</x:v>
      </x:c>
      <x:c r="F6" s="2" t="str">
        <x:v>Thermal energy available later</x:v>
      </x:c>
      <x:c r="G6" s="2"/>
      <x:c r="H6" s="2"/>
      <x:c r="I6" s="2"/>
      <x:c r="J6" s="2"/>
      <x:c r="K6" s="2"/>
      <x:c r="L6" s="2"/>
      <x:c r="M6" s="2"/>
      <x:c r="N6" s="2"/>
      <x:c r="O6" s="2"/>
      <x:c r="P6" s="2"/>
      <x:c r="Q6" s="2"/>
    </x:row>
    <x:row r="7">
      <x:c r="A7" s="2" t="str">
        <x:v>Raw thermal capacity kWh</x:v>
      </x:c>
      <x:c r="B7" s="20" t="n">
        <x:f>B4*B5*B6/3600000</x:f>
        <x:v>97.22222222222223</x:v>
      </x:c>
      <x:c r="C7" s="2"/>
      <x:c r="D7" s="2" t="str">
        <x:v>Landed mass</x:v>
      </x:c>
      <x:c r="E7" s="2" t="str">
        <x:v>Loop + HX field hardware</x:v>
      </x:c>
      <x:c r="F7" s="2" t="str">
        <x:v>Mass penalty is mostly hardware, not storage medium</x:v>
      </x:c>
      <x:c r="G7" s="2"/>
      <x:c r="H7" s="2"/>
      <x:c r="I7" s="2"/>
      <x:c r="J7" s="2"/>
      <x:c r="K7" s="2"/>
      <x:c r="L7" s="2"/>
      <x:c r="M7" s="2"/>
      <x:c r="N7" s="2"/>
      <x:c r="O7" s="2"/>
      <x:c r="P7" s="2"/>
      <x:c r="Q7" s="2"/>
    </x:row>
    <x:row r="8">
      <x:c r="A8" s="2" t="str">
        <x:v>Charge efficiency</x:v>
      </x:c>
      <x:c r="B8" s="20" t="n">
        <x:f>Inputs!B16</x:f>
        <x:v>0.8</x:v>
      </x:c>
      <x:c r="C8" s="2"/>
      <x:c r="D8" s="2" t="str">
        <x:v>Design rule</x:v>
      </x:c>
      <x:c r="E8" s="2" t="str">
        <x:v>Bank waste heat before creating new heat</x:v>
      </x:c>
      <x:c r="F8" s="2" t="str">
        <x:v>Reduces radiator duty and battery cycling</x:v>
      </x:c>
      <x:c r="G8" s="2"/>
      <x:c r="H8" s="2"/>
      <x:c r="I8" s="2"/>
      <x:c r="J8" s="2"/>
      <x:c r="K8" s="2"/>
      <x:c r="L8" s="2"/>
      <x:c r="M8" s="2"/>
      <x:c r="N8" s="2"/>
      <x:c r="O8" s="2"/>
      <x:c r="P8" s="2"/>
      <x:c r="Q8" s="2"/>
    </x:row>
    <x:row r="9">
      <x:c r="A9" s="2" t="str">
        <x:v>Usable stored thermal kWh</x:v>
      </x:c>
      <x:c r="B9" s="20" t="n">
        <x:f>B7*B8</x:f>
        <x:v>77.77777777777779</x:v>
      </x:c>
      <x:c r="C9" s="2"/>
      <x:c r="D9" s="2"/>
      <x:c r="E9" s="2"/>
      <x:c r="F9" s="2"/>
      <x:c r="G9" s="2"/>
      <x:c r="H9" s="2"/>
      <x:c r="I9" s="2"/>
      <x:c r="J9" s="2"/>
      <x:c r="K9" s="2"/>
      <x:c r="L9" s="2"/>
      <x:c r="M9" s="2"/>
      <x:c r="N9" s="2"/>
      <x:c r="O9" s="2"/>
      <x:c r="P9" s="2"/>
      <x:c r="Q9" s="2"/>
    </x:row>
    <x:row r="10">
      <x:c r="A10" s="2" t="str">
        <x:v>Recovery efficiency</x:v>
      </x:c>
      <x:c r="B10" s="20" t="n">
        <x:f>Inputs!B17</x:f>
        <x:v>0.65</x:v>
      </x:c>
      <x:c r="C10" s="2"/>
      <x:c r="D10" s="2"/>
      <x:c r="E10" s="2"/>
      <x:c r="F10" s="2"/>
      <x:c r="G10" s="2"/>
      <x:c r="H10" s="2"/>
      <x:c r="I10" s="2"/>
      <x:c r="J10" s="2"/>
      <x:c r="K10" s="2"/>
      <x:c r="L10" s="2"/>
      <x:c r="M10" s="2"/>
      <x:c r="N10" s="2"/>
      <x:c r="O10" s="2"/>
      <x:c r="P10" s="2"/>
      <x:c r="Q10" s="2"/>
    </x:row>
    <x:row r="11">
      <x:c r="A11" s="2" t="str">
        <x:v>Recoverable thermal kWh</x:v>
      </x:c>
      <x:c r="B11" s="20" t="n">
        <x:f>B9*B10</x:f>
        <x:v>50.555555555555564</x:v>
      </x:c>
      <x:c r="C11" s="2"/>
      <x:c r="D11" s="2"/>
      <x:c r="E11" s="2"/>
      <x:c r="F11" s="2"/>
      <x:c r="G11" s="2"/>
      <x:c r="H11" s="2"/>
      <x:c r="I11" s="2"/>
      <x:c r="J11" s="2"/>
      <x:c r="K11" s="2"/>
      <x:c r="L11" s="2"/>
      <x:c r="M11" s="2"/>
      <x:c r="N11" s="2"/>
      <x:c r="O11" s="2"/>
      <x:c r="P11" s="2"/>
      <x:c r="Q11" s="2"/>
    </x:row>
    <x:row r="12">
      <x:c r="A12" s="2" t="str">
        <x:v>Earth-landed thermal-bank hardware kg</x:v>
      </x:c>
      <x:c r="B12" s="20" t="n">
        <x:f>Inputs!B18+Inputs!B19</x:f>
        <x:v>300</x:v>
      </x:c>
      <x:c r="C12" s="2"/>
      <x:c r="D12" s="2"/>
      <x:c r="E12" s="2"/>
      <x:c r="F12" s="2"/>
      <x:c r="G12" s="2"/>
      <x:c r="H12" s="2"/>
      <x:c r="I12" s="2"/>
      <x:c r="J12" s="2"/>
      <x:c r="K12" s="2"/>
      <x:c r="L12" s="2"/>
      <x:c r="M12" s="2"/>
      <x:c r="N12" s="2"/>
      <x:c r="O12" s="2"/>
      <x:c r="P12" s="2"/>
      <x:c r="Q12" s="2"/>
    </x:row>
    <x:row r="13">
      <x:c r="A13" s="2"/>
      <x:c r="B13" s="2"/>
      <x:c r="C13" s="2"/>
      <x:c r="D13" s="2"/>
      <x:c r="E13" s="2"/>
      <x:c r="F13" s="2"/>
      <x:c r="G13" s="2"/>
      <x:c r="H13" s="2"/>
      <x:c r="I13" s="2"/>
      <x:c r="J13" s="2"/>
      <x:c r="K13" s="2"/>
      <x:c r="L13" s="2"/>
      <x:c r="M13" s="2"/>
      <x:c r="N13" s="2"/>
      <x:c r="O13" s="2"/>
      <x:c r="P13" s="2"/>
      <x:c r="Q13" s="2"/>
    </x:row>
    <x:row r="14">
      <x:c r="A14" s="2"/>
      <x:c r="B14" s="2"/>
      <x:c r="C14" s="2"/>
      <x:c r="D14" s="2"/>
      <x:c r="E14" s="2"/>
      <x:c r="F14" s="2"/>
      <x:c r="G14" s="2"/>
      <x:c r="H14" s="2"/>
      <x:c r="I14" s="2"/>
      <x:c r="J14" s="2"/>
      <x:c r="K14" s="2"/>
      <x:c r="L14" s="2"/>
      <x:c r="M14" s="2"/>
      <x:c r="N14" s="2"/>
      <x:c r="O14" s="2"/>
      <x:c r="P14" s="2"/>
      <x:c r="Q14" s="2"/>
    </x:row>
    <x:row r="15">
      <x:c r="A15" s="2"/>
      <x:c r="B15" s="2"/>
      <x:c r="C15" s="2"/>
      <x:c r="D15" s="2"/>
      <x:c r="E15" s="2"/>
      <x:c r="F15" s="2"/>
      <x:c r="G15" s="2"/>
      <x:c r="H15" s="2"/>
      <x:c r="I15" s="2"/>
      <x:c r="J15" s="2"/>
      <x:c r="K15" s="2"/>
      <x:c r="L15" s="2"/>
      <x:c r="M15" s="2"/>
      <x:c r="N15" s="2"/>
      <x:c r="O15" s="2"/>
      <x:c r="P15" s="2"/>
      <x:c r="Q15" s="2"/>
    </x:row>
    <x:row r="16">
      <x:c r="A16" s="2"/>
      <x:c r="B16" s="2"/>
      <x:c r="C16" s="2"/>
      <x:c r="D16" s="2"/>
      <x:c r="E16" s="2"/>
      <x:c r="F16" s="2"/>
      <x:c r="G16" s="2"/>
      <x:c r="H16" s="2"/>
      <x:c r="I16" s="2"/>
      <x:c r="J16" s="2"/>
      <x:c r="K16" s="2"/>
      <x:c r="L16" s="2"/>
      <x:c r="M16" s="2"/>
      <x:c r="N16" s="2"/>
      <x:c r="O16" s="2"/>
      <x:c r="P16" s="2"/>
      <x:c r="Q16" s="2"/>
    </x:row>
    <x:row r="17">
      <x:c r="A17" s="2"/>
      <x:c r="B17" s="2"/>
      <x:c r="C17" s="2"/>
      <x:c r="D17" s="2"/>
      <x:c r="E17" s="2"/>
      <x:c r="F17" s="2"/>
      <x:c r="G17" s="2"/>
      <x:c r="H17" s="2"/>
      <x:c r="I17" s="2"/>
      <x:c r="J17" s="2"/>
      <x:c r="K17" s="2"/>
      <x:c r="L17" s="2"/>
      <x:c r="M17" s="2"/>
      <x:c r="N17" s="2"/>
      <x:c r="O17" s="2"/>
      <x:c r="P17" s="2"/>
      <x:c r="Q17" s="2"/>
    </x:row>
    <x:row r="18">
      <x:c r="A18" s="2"/>
      <x:c r="B18" s="2"/>
      <x:c r="C18" s="2"/>
      <x:c r="D18" s="2"/>
      <x:c r="E18" s="2"/>
      <x:c r="F18" s="2"/>
      <x:c r="G18" s="2"/>
      <x:c r="H18" s="2"/>
      <x:c r="I18" s="2"/>
      <x:c r="J18" s="2"/>
      <x:c r="K18" s="2"/>
      <x:c r="L18" s="2"/>
      <x:c r="M18" s="2"/>
      <x:c r="N18" s="2"/>
      <x:c r="O18" s="2"/>
      <x:c r="P18" s="2"/>
      <x:c r="Q18" s="2"/>
    </x:row>
    <x:row r="19">
      <x:c r="A19" s="2"/>
      <x:c r="B19" s="2"/>
      <x:c r="C19" s="2"/>
      <x:c r="D19" s="2"/>
      <x:c r="E19" s="2"/>
      <x:c r="F19" s="2"/>
      <x:c r="G19" s="2"/>
      <x:c r="H19" s="2"/>
      <x:c r="I19" s="2"/>
      <x:c r="J19" s="2"/>
      <x:c r="K19" s="2"/>
      <x:c r="L19" s="2"/>
      <x:c r="M19" s="2"/>
      <x:c r="N19" s="2"/>
      <x:c r="O19" s="2"/>
      <x:c r="P19" s="2"/>
      <x:c r="Q19" s="2"/>
    </x:row>
    <x:row r="20">
      <x:c r="A20" s="2"/>
      <x:c r="B20" s="2"/>
      <x:c r="C20" s="2"/>
      <x:c r="D20" s="2"/>
      <x:c r="E20" s="2"/>
      <x:c r="F20" s="2"/>
      <x:c r="G20" s="2"/>
      <x:c r="H20" s="2"/>
      <x:c r="I20" s="2"/>
      <x:c r="J20" s="2"/>
      <x:c r="K20" s="2"/>
      <x:c r="L20" s="2"/>
      <x:c r="M20" s="2"/>
      <x:c r="N20" s="2"/>
      <x:c r="O20" s="2"/>
      <x:c r="P20" s="2"/>
      <x:c r="Q20" s="2"/>
    </x:row>
    <x:row r="21">
      <x:c r="A21" s="2"/>
      <x:c r="B21" s="2"/>
      <x:c r="C21" s="2"/>
      <x:c r="D21" s="2"/>
      <x:c r="E21" s="2"/>
      <x:c r="F21" s="2"/>
      <x:c r="G21" s="2"/>
      <x:c r="H21" s="2"/>
      <x:c r="I21" s="2"/>
      <x:c r="J21" s="2"/>
      <x:c r="K21" s="2"/>
      <x:c r="L21" s="2"/>
      <x:c r="M21" s="2"/>
      <x:c r="N21" s="2"/>
      <x:c r="O21" s="2"/>
      <x:c r="P21" s="2"/>
      <x:c r="Q21" s="2"/>
    </x:row>
    <x:row r="22">
      <x:c r="A22" s="2"/>
      <x:c r="B22" s="2"/>
      <x:c r="C22" s="2"/>
      <x:c r="D22" s="2"/>
      <x:c r="E22" s="2"/>
      <x:c r="F22" s="2"/>
      <x:c r="G22" s="2"/>
      <x:c r="H22" s="2"/>
      <x:c r="I22" s="2"/>
      <x:c r="J22" s="2"/>
      <x:c r="K22" s="2"/>
      <x:c r="L22" s="2"/>
      <x:c r="M22" s="2"/>
      <x:c r="N22" s="2"/>
      <x:c r="O22" s="2"/>
      <x:c r="P22" s="2"/>
      <x:c r="Q22" s="2"/>
    </x:row>
    <x:row r="23">
      <x:c r="A23" s="2"/>
      <x:c r="B23" s="2"/>
      <x:c r="C23" s="2"/>
      <x:c r="D23" s="2"/>
      <x:c r="E23" s="2"/>
      <x:c r="F23" s="2"/>
      <x:c r="G23" s="2"/>
      <x:c r="H23" s="2"/>
      <x:c r="I23" s="2"/>
      <x:c r="J23" s="2"/>
      <x:c r="K23" s="2"/>
      <x:c r="L23" s="2"/>
      <x:c r="M23" s="2"/>
      <x:c r="N23" s="2"/>
      <x:c r="O23" s="2"/>
      <x:c r="P23" s="2"/>
      <x:c r="Q23" s="2"/>
    </x:row>
    <x:row r="24">
      <x:c r="A24" s="2"/>
      <x:c r="B24" s="2"/>
      <x:c r="C24" s="2"/>
      <x:c r="D24" s="2"/>
      <x:c r="E24" s="2"/>
      <x:c r="F24" s="2"/>
      <x:c r="G24" s="2"/>
      <x:c r="H24" s="2"/>
      <x:c r="I24" s="2"/>
      <x:c r="J24" s="2"/>
      <x:c r="K24" s="2"/>
      <x:c r="L24" s="2"/>
      <x:c r="M24" s="2"/>
      <x:c r="N24" s="2"/>
      <x:c r="O24" s="2"/>
      <x:c r="P24" s="2"/>
      <x:c r="Q24" s="2"/>
    </x:row>
    <x:row r="25">
      <x:c r="A25" s="2"/>
      <x:c r="B25" s="2"/>
      <x:c r="C25" s="2"/>
      <x:c r="D25" s="2"/>
      <x:c r="E25" s="2"/>
      <x:c r="F25" s="2"/>
      <x:c r="G25" s="2"/>
      <x:c r="H25" s="2"/>
      <x:c r="I25" s="2"/>
      <x:c r="J25" s="2"/>
      <x:c r="K25" s="2"/>
      <x:c r="L25" s="2"/>
      <x:c r="M25" s="2"/>
      <x:c r="N25" s="2"/>
      <x:c r="O25" s="2"/>
      <x:c r="P25" s="2"/>
      <x:c r="Q25" s="2"/>
    </x:row>
    <x:row r="26">
      <x:c r="A26" s="2"/>
      <x:c r="B26" s="2"/>
      <x:c r="C26" s="2"/>
      <x:c r="D26" s="2"/>
      <x:c r="E26" s="2"/>
      <x:c r="F26" s="2"/>
      <x:c r="G26" s="2"/>
      <x:c r="H26" s="2"/>
      <x:c r="I26" s="2"/>
      <x:c r="J26" s="2"/>
      <x:c r="K26" s="2"/>
      <x:c r="L26" s="2"/>
      <x:c r="M26" s="2"/>
      <x:c r="N26" s="2"/>
      <x:c r="O26" s="2"/>
      <x:c r="P26" s="2"/>
      <x:c r="Q26" s="2"/>
    </x:row>
    <x:row r="27">
      <x:c r="A27" s="2"/>
      <x:c r="B27" s="2"/>
      <x:c r="C27" s="2"/>
      <x:c r="D27" s="2"/>
      <x:c r="E27" s="2"/>
      <x:c r="F27" s="2"/>
      <x:c r="G27" s="2"/>
      <x:c r="H27" s="2"/>
      <x:c r="I27" s="2"/>
      <x:c r="J27" s="2"/>
      <x:c r="K27" s="2"/>
      <x:c r="L27" s="2"/>
      <x:c r="M27" s="2"/>
      <x:c r="N27" s="2"/>
      <x:c r="O27" s="2"/>
      <x:c r="P27" s="2"/>
      <x:c r="Q27" s="2"/>
    </x:row>
    <x:row r="28">
      <x:c r="A28" s="2"/>
      <x:c r="B28" s="2"/>
      <x:c r="C28" s="2"/>
      <x:c r="D28" s="2"/>
      <x:c r="E28" s="2"/>
      <x:c r="F28" s="2"/>
      <x:c r="G28" s="2"/>
      <x:c r="H28" s="2"/>
      <x:c r="I28" s="2"/>
      <x:c r="J28" s="2"/>
      <x:c r="K28" s="2"/>
      <x:c r="L28" s="2"/>
      <x:c r="M28" s="2"/>
      <x:c r="N28" s="2"/>
      <x:c r="O28" s="2"/>
      <x:c r="P28" s="2"/>
      <x:c r="Q28" s="2"/>
    </x:row>
    <x:row r="29">
      <x:c r="A29" s="2"/>
      <x:c r="B29" s="2"/>
      <x:c r="C29" s="2"/>
      <x:c r="D29" s="2"/>
      <x:c r="E29" s="2"/>
      <x:c r="F29" s="2"/>
      <x:c r="G29" s="2"/>
      <x:c r="H29" s="2"/>
      <x:c r="I29" s="2"/>
      <x:c r="J29" s="2"/>
      <x:c r="K29" s="2"/>
      <x:c r="L29" s="2"/>
      <x:c r="M29" s="2"/>
      <x:c r="N29" s="2"/>
      <x:c r="O29" s="2"/>
      <x:c r="P29" s="2"/>
      <x:c r="Q29" s="2"/>
    </x:row>
    <x:row r="30">
      <x:c r="A30" s="2"/>
      <x:c r="B30" s="2"/>
      <x:c r="C30" s="2"/>
      <x:c r="D30" s="2"/>
      <x:c r="E30" s="2"/>
      <x:c r="F30" s="2"/>
      <x:c r="G30" s="2"/>
      <x:c r="H30" s="2"/>
      <x:c r="I30" s="2"/>
      <x:c r="J30" s="2"/>
      <x:c r="K30" s="2"/>
      <x:c r="L30" s="2"/>
      <x:c r="M30" s="2"/>
      <x:c r="N30" s="2"/>
      <x:c r="O30" s="2"/>
      <x:c r="P30" s="2"/>
      <x:c r="Q30" s="2"/>
    </x:row>
    <x:row r="31">
      <x:c r="A31" s="2"/>
      <x:c r="B31" s="2"/>
      <x:c r="C31" s="2"/>
      <x:c r="D31" s="2"/>
      <x:c r="E31" s="2"/>
      <x:c r="F31" s="2"/>
      <x:c r="G31" s="2"/>
      <x:c r="H31" s="2"/>
      <x:c r="I31" s="2"/>
      <x:c r="J31" s="2"/>
      <x:c r="K31" s="2"/>
      <x:c r="L31" s="2"/>
      <x:c r="M31" s="2"/>
      <x:c r="N31" s="2"/>
      <x:c r="O31" s="2"/>
      <x:c r="P31" s="2"/>
      <x:c r="Q31" s="2"/>
    </x:row>
    <x:row r="32">
      <x:c r="A32" s="2"/>
      <x:c r="B32" s="2"/>
      <x:c r="C32" s="2"/>
      <x:c r="D32" s="2"/>
      <x:c r="E32" s="2"/>
      <x:c r="F32" s="2"/>
      <x:c r="G32" s="2"/>
      <x:c r="H32" s="2"/>
      <x:c r="I32" s="2"/>
      <x:c r="J32" s="2"/>
      <x:c r="K32" s="2"/>
      <x:c r="L32" s="2"/>
      <x:c r="M32" s="2"/>
      <x:c r="N32" s="2"/>
      <x:c r="O32" s="2"/>
      <x:c r="P32" s="2"/>
      <x:c r="Q32" s="2"/>
    </x:row>
    <x:row r="33">
      <x:c r="A33" s="2"/>
      <x:c r="B33" s="2"/>
      <x:c r="C33" s="2"/>
      <x:c r="D33" s="2"/>
      <x:c r="E33" s="2"/>
      <x:c r="F33" s="2"/>
      <x:c r="G33" s="2"/>
      <x:c r="H33" s="2"/>
      <x:c r="I33" s="2"/>
      <x:c r="J33" s="2"/>
      <x:c r="K33" s="2"/>
      <x:c r="L33" s="2"/>
      <x:c r="M33" s="2"/>
      <x:c r="N33" s="2"/>
      <x:c r="O33" s="2"/>
      <x:c r="P33" s="2"/>
      <x:c r="Q33" s="2"/>
    </x:row>
    <x:row r="34">
      <x:c r="A34" s="2"/>
      <x:c r="B34" s="2"/>
      <x:c r="C34" s="2"/>
      <x:c r="D34" s="2"/>
      <x:c r="E34" s="2"/>
      <x:c r="F34" s="2"/>
      <x:c r="G34" s="2"/>
      <x:c r="H34" s="2"/>
      <x:c r="I34" s="2"/>
      <x:c r="J34" s="2"/>
      <x:c r="K34" s="2"/>
      <x:c r="L34" s="2"/>
      <x:c r="M34" s="2"/>
      <x:c r="N34" s="2"/>
      <x:c r="O34" s="2"/>
      <x:c r="P34" s="2"/>
      <x:c r="Q34" s="2"/>
    </x:row>
    <x:row r="35">
      <x:c r="A35" s="2"/>
      <x:c r="B35" s="2"/>
      <x:c r="C35" s="2"/>
      <x:c r="D35" s="2"/>
      <x:c r="E35" s="2"/>
      <x:c r="F35" s="2"/>
      <x:c r="G35" s="2"/>
      <x:c r="H35" s="2"/>
      <x:c r="I35" s="2"/>
      <x:c r="J35" s="2"/>
      <x:c r="K35" s="2"/>
      <x:c r="L35" s="2"/>
      <x:c r="M35" s="2"/>
      <x:c r="N35" s="2"/>
      <x:c r="O35" s="2"/>
      <x:c r="P35" s="2"/>
      <x:c r="Q35" s="2"/>
    </x:row>
    <x:row r="36">
      <x:c r="A36" s="2"/>
      <x:c r="B36" s="2"/>
      <x:c r="C36" s="2"/>
      <x:c r="D36" s="2"/>
      <x:c r="E36" s="2"/>
      <x:c r="F36" s="2"/>
      <x:c r="G36" s="2"/>
      <x:c r="H36" s="2"/>
      <x:c r="I36" s="2"/>
      <x:c r="J36" s="2"/>
      <x:c r="K36" s="2"/>
      <x:c r="L36" s="2"/>
      <x:c r="M36" s="2"/>
      <x:c r="N36" s="2"/>
      <x:c r="O36" s="2"/>
      <x:c r="P36" s="2"/>
      <x:c r="Q36" s="2"/>
    </x:row>
    <x:row r="37">
      <x:c r="A37" s="2"/>
      <x:c r="B37" s="2"/>
      <x:c r="C37" s="2"/>
      <x:c r="D37" s="2"/>
      <x:c r="E37" s="2"/>
      <x:c r="F37" s="2"/>
      <x:c r="G37" s="2"/>
      <x:c r="H37" s="2"/>
      <x:c r="I37" s="2"/>
      <x:c r="J37" s="2"/>
      <x:c r="K37" s="2"/>
      <x:c r="L37" s="2"/>
      <x:c r="M37" s="2"/>
      <x:c r="N37" s="2"/>
      <x:c r="O37" s="2"/>
      <x:c r="P37" s="2"/>
      <x:c r="Q37" s="2"/>
    </x:row>
    <x:row r="38">
      <x:c r="A38" s="2"/>
      <x:c r="B38" s="2"/>
      <x:c r="C38" s="2"/>
      <x:c r="D38" s="2"/>
      <x:c r="E38" s="2"/>
      <x:c r="F38" s="2"/>
      <x:c r="G38" s="2"/>
      <x:c r="H38" s="2"/>
      <x:c r="I38" s="2"/>
      <x:c r="J38" s="2"/>
      <x:c r="K38" s="2"/>
      <x:c r="L38" s="2"/>
      <x:c r="M38" s="2"/>
      <x:c r="N38" s="2"/>
      <x:c r="O38" s="2"/>
      <x:c r="P38" s="2"/>
      <x:c r="Q38" s="2"/>
    </x:row>
    <x:row r="39">
      <x:c r="A39" s="2"/>
      <x:c r="B39" s="2"/>
      <x:c r="C39" s="2"/>
      <x:c r="D39" s="2"/>
      <x:c r="E39" s="2"/>
      <x:c r="F39" s="2"/>
      <x:c r="G39" s="2"/>
      <x:c r="H39" s="2"/>
      <x:c r="I39" s="2"/>
      <x:c r="J39" s="2"/>
      <x:c r="K39" s="2"/>
      <x:c r="L39" s="2"/>
      <x:c r="M39" s="2"/>
      <x:c r="N39" s="2"/>
      <x:c r="O39" s="2"/>
      <x:c r="P39" s="2"/>
      <x:c r="Q39" s="2"/>
    </x:row>
    <x:row r="40">
      <x:c r="A40" s="2"/>
      <x:c r="B40" s="2"/>
      <x:c r="C40" s="2"/>
      <x:c r="D40" s="2"/>
      <x:c r="E40" s="2"/>
      <x:c r="F40" s="2"/>
      <x:c r="G40" s="2"/>
      <x:c r="H40" s="2"/>
      <x:c r="I40" s="2"/>
      <x:c r="J40" s="2"/>
      <x:c r="K40" s="2"/>
      <x:c r="L40" s="2"/>
      <x:c r="M40" s="2"/>
      <x:c r="N40" s="2"/>
      <x:c r="O40" s="2"/>
      <x:c r="P40" s="2"/>
      <x:c r="Q40" s="2"/>
    </x:row>
  </x:sheetData>
  <x:mergeCells>
    <x:mergeCell ref="A1:F1"/>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26" hidden="0" customWidth="1"/>
    <x:col min="3" max="3" width="18" hidden="0" customWidth="1"/>
    <x:col min="4" max="4" width="22" hidden="0" customWidth="1"/>
    <x:col min="5" max="5" width="16" hidden="0" customWidth="1"/>
    <x:col min="6" max="6" width="36" hidden="0" customWidth="1"/>
  </x:cols>
  <x:sheetData>
    <x:row r="1">
      <x:c r="A1" s="7" t="str">
        <x:v>Early Mission Power-System Mass Budget</x:v>
      </x:c>
      <x:c r="B1" s="7"/>
      <x:c r="C1" s="7"/>
      <x:c r="D1" s="7"/>
      <x:c r="E1" s="7"/>
      <x:c r="F1" s="7"/>
      <x:c r="G1" s="2"/>
      <x:c r="H1" s="2"/>
      <x:c r="I1" s="2"/>
      <x:c r="J1" s="2"/>
      <x:c r="K1" s="2"/>
      <x:c r="L1" s="2"/>
      <x:c r="M1" s="2"/>
      <x:c r="N1" s="2"/>
      <x:c r="O1" s="2"/>
      <x:c r="P1" s="2"/>
      <x:c r="Q1" s="2"/>
    </x:row>
    <x:row r="2">
      <x:c r="A2" s="2"/>
      <x:c r="B2" s="2"/>
      <x:c r="C2" s="2"/>
      <x:c r="D2" s="2"/>
      <x:c r="E2" s="2"/>
      <x:c r="F2" s="2"/>
      <x:c r="G2" s="2"/>
      <x:c r="H2" s="2"/>
      <x:c r="I2" s="2"/>
      <x:c r="J2" s="2"/>
      <x:c r="K2" s="2"/>
      <x:c r="L2" s="2"/>
      <x:c r="M2" s="2"/>
      <x:c r="N2" s="2"/>
      <x:c r="O2" s="2"/>
      <x:c r="P2" s="2"/>
      <x:c r="Q2" s="2"/>
    </x:row>
    <x:row r="3">
      <x:c r="A3" s="15" t="str">
        <x:v>Subsystem</x:v>
      </x:c>
      <x:c r="B3" s="15" t="str">
        <x:v>Sizing basis</x:v>
      </x:c>
      <x:c r="C3" s="15" t="str">
        <x:v>Calculated mass kg</x:v>
      </x:c>
      <x:c r="D3" s="15" t="str">
        <x:v>Counts toward landed cap?</x:v>
      </x:c>
      <x:c r="E3" s="15" t="str">
        <x:v>Local mass kg</x:v>
      </x:c>
      <x:c r="F3" s="15" t="str">
        <x:v>Notes</x:v>
      </x:c>
      <x:c r="G3" s="2"/>
      <x:c r="H3" s="2"/>
      <x:c r="I3" s="2"/>
      <x:c r="J3" s="2"/>
      <x:c r="K3" s="2"/>
      <x:c r="L3" s="2"/>
      <x:c r="M3" s="2"/>
      <x:c r="N3" s="2"/>
      <x:c r="O3" s="2"/>
      <x:c r="P3" s="2"/>
      <x:c r="Q3" s="2"/>
    </x:row>
    <x:row r="4">
      <x:c r="A4" s="2" t="str">
        <x:v>Battery</x:v>
      </x:c>
      <x:c r="B4" s="2" t="str">
        <x:v>Installed kWh / Wh/kg</x:v>
      </x:c>
      <x:c r="C4" s="20" t="n">
        <x:f>Inputs!B9*1000/Inputs!B20</x:f>
        <x:v>740.625</x:v>
      </x:c>
      <x:c r="D4" s="20" t="str">
        <x:v>Yes</x:v>
      </x:c>
      <x:c r="E4" s="20" t="n">
        <x:v>0</x:v>
      </x:c>
      <x:c r="F4" s="2" t="str">
        <x:v>Pack-level estimate</x:v>
      </x:c>
      <x:c r="G4" s="2"/>
      <x:c r="H4" s="2"/>
      <x:c r="I4" s="2"/>
      <x:c r="J4" s="2"/>
      <x:c r="K4" s="2"/>
      <x:c r="L4" s="2"/>
      <x:c r="M4" s="2"/>
      <x:c r="N4" s="2"/>
      <x:c r="O4" s="2"/>
      <x:c r="P4" s="2"/>
      <x:c r="Q4" s="2"/>
    </x:row>
    <x:row r="5">
      <x:c r="A5" s="2" t="str">
        <x:v>Solar generation</x:v>
      </x:c>
      <x:c r="B5" s="2" t="str">
        <x:v>Installed kW / W/kg</x:v>
      </x:c>
      <x:c r="C5" s="20" t="n">
        <x:f>Inputs!B7*1000/Inputs!B21</x:f>
        <x:v>250</x:v>
      </x:c>
      <x:c r="D5" s="20" t="str">
        <x:v>Yes</x:v>
      </x:c>
      <x:c r="E5" s="20" t="n">
        <x:v>0</x:v>
      </x:c>
      <x:c r="F5" s="2" t="str">
        <x:v>Includes deployment allowance in specific power</x:v>
      </x:c>
      <x:c r="G5" s="2"/>
      <x:c r="H5" s="2"/>
      <x:c r="I5" s="2"/>
      <x:c r="J5" s="2"/>
      <x:c r="K5" s="2"/>
      <x:c r="L5" s="2"/>
      <x:c r="M5" s="2"/>
      <x:c r="N5" s="2"/>
      <x:c r="O5" s="2"/>
      <x:c r="P5" s="2"/>
      <x:c r="Q5" s="2"/>
    </x:row>
    <x:row r="6">
      <x:c r="A6" s="2" t="str">
        <x:v>Fission generation</x:v>
      </x:c>
      <x:c r="B6" s="2" t="str">
        <x:v>Rated kW / W/kg</x:v>
      </x:c>
      <x:c r="C6" s="20" t="n">
        <x:f>IF(Inputs!B11=0,0,Inputs!B11*1000/Inputs!B22)</x:f>
        <x:v>4000</x:v>
      </x:c>
      <x:c r="D6" s="20" t="str">
        <x:v>Yes</x:v>
      </x:c>
      <x:c r="E6" s="20" t="n">
        <x:v>0</x:v>
      </x:c>
      <x:c r="F6" s="2" t="str">
        <x:v>Set rated kW to 0 for pre-fission case</x:v>
      </x:c>
      <x:c r="G6" s="2"/>
      <x:c r="H6" s="2"/>
      <x:c r="I6" s="2"/>
      <x:c r="J6" s="2"/>
      <x:c r="K6" s="2"/>
      <x:c r="L6" s="2"/>
      <x:c r="M6" s="2"/>
      <x:c r="N6" s="2"/>
      <x:c r="O6" s="2"/>
      <x:c r="P6" s="2"/>
      <x:c r="Q6" s="2"/>
    </x:row>
    <x:row r="7">
      <x:c r="A7" s="2" t="str">
        <x:v>PMAD / nodes</x:v>
      </x:c>
      <x:c r="B7" s="2" t="str">
        <x:v>Direct allowance</x:v>
      </x:c>
      <x:c r="C7" s="20" t="n">
        <x:f>Inputs!B23</x:f>
        <x:v>400</x:v>
      </x:c>
      <x:c r="D7" s="20" t="str">
        <x:v>Yes</x:v>
      </x:c>
      <x:c r="E7" s="20" t="n">
        <x:v>0</x:v>
      </x:c>
      <x:c r="F7" s="2" t="str">
        <x:v>Distribution and controls</x:v>
      </x:c>
      <x:c r="G7" s="2"/>
      <x:c r="H7" s="2"/>
      <x:c r="I7" s="2"/>
      <x:c r="J7" s="2"/>
      <x:c r="K7" s="2"/>
      <x:c r="L7" s="2"/>
      <x:c r="M7" s="2"/>
      <x:c r="N7" s="2"/>
      <x:c r="O7" s="2"/>
      <x:c r="P7" s="2"/>
      <x:c r="Q7" s="2"/>
    </x:row>
    <x:row r="8">
      <x:c r="A8" s="2" t="str">
        <x:v>Thermal-bank hardware</x:v>
      </x:c>
      <x:c r="B8" s="2" t="str">
        <x:v>Graywater loop + HX field</x:v>
      </x:c>
      <x:c r="C8" s="20" t="n">
        <x:f>'Thermal Bank'!B12</x:f>
        <x:v>300</x:v>
      </x:c>
      <x:c r="D8" s="20" t="str">
        <x:v>Yes</x:v>
      </x:c>
      <x:c r="E8" s="20" t="n">
        <x:v>0</x:v>
      </x:c>
      <x:c r="F8" s="2" t="str">
        <x:v>Closed system; no intentional water loss</x:v>
      </x:c>
      <x:c r="G8" s="2"/>
      <x:c r="H8" s="2"/>
      <x:c r="I8" s="2"/>
      <x:c r="J8" s="2"/>
      <x:c r="K8" s="2"/>
      <x:c r="L8" s="2"/>
      <x:c r="M8" s="2"/>
      <x:c r="N8" s="2"/>
      <x:c r="O8" s="2"/>
      <x:c r="P8" s="2"/>
      <x:c r="Q8" s="2"/>
    </x:row>
    <x:row r="9">
      <x:c r="A9" s="2" t="str">
        <x:v>Thermal storage medium</x:v>
      </x:c>
      <x:c r="B9" s="2" t="str">
        <x:v>Regolith mass</x:v>
      </x:c>
      <x:c r="C9" s="20" t="n">
        <x:v>0</x:v>
      </x:c>
      <x:c r="D9" s="20" t="str">
        <x:v>No</x:v>
      </x:c>
      <x:c r="E9" s="20" t="n">
        <x:f>Inputs!B13</x:f>
        <x:v>10000</x:v>
      </x:c>
      <x:c r="F9" s="2" t="str">
        <x:v>Local resource; excluded from landed mass</x:v>
      </x:c>
      <x:c r="G9" s="2"/>
      <x:c r="H9" s="2"/>
      <x:c r="I9" s="2"/>
      <x:c r="J9" s="2"/>
      <x:c r="K9" s="2"/>
      <x:c r="L9" s="2"/>
      <x:c r="M9" s="2"/>
      <x:c r="N9" s="2"/>
      <x:c r="O9" s="2"/>
      <x:c r="P9" s="2"/>
      <x:c r="Q9" s="2"/>
    </x:row>
    <x:row r="10">
      <x:c r="A10" s="2"/>
      <x:c r="B10" s="2"/>
      <x:c r="C10" s="2"/>
      <x:c r="D10" s="2"/>
      <x:c r="E10" s="2"/>
      <x:c r="F10" s="2"/>
      <x:c r="G10" s="2"/>
      <x:c r="H10" s="2"/>
      <x:c r="I10" s="2"/>
      <x:c r="J10" s="2"/>
      <x:c r="K10" s="2"/>
      <x:c r="L10" s="2"/>
      <x:c r="M10" s="2"/>
      <x:c r="N10" s="2"/>
      <x:c r="O10" s="2"/>
      <x:c r="P10" s="2"/>
      <x:c r="Q10" s="2"/>
    </x:row>
    <x:row r="11">
      <x:c r="A11" s="2" t="str">
        <x:v>Mass KPI</x:v>
      </x:c>
      <x:c r="B11" s="2" t="str">
        <x:v>Value</x:v>
      </x:c>
      <x:c r="C11" s="2"/>
      <x:c r="D11" s="2"/>
      <x:c r="E11" s="2"/>
      <x:c r="F11" s="2"/>
      <x:c r="G11" s="2"/>
      <x:c r="H11" s="2"/>
      <x:c r="I11" s="2"/>
      <x:c r="J11" s="2"/>
      <x:c r="K11" s="2"/>
      <x:c r="L11" s="2"/>
      <x:c r="M11" s="2"/>
      <x:c r="N11" s="2"/>
      <x:c r="O11" s="2"/>
      <x:c r="P11" s="2"/>
      <x:c r="Q11" s="2"/>
    </x:row>
    <x:row r="12">
      <x:c r="A12" s="2" t="str">
        <x:v>Total landed power-system mass kg</x:v>
      </x:c>
      <x:c r="B12" s="20" t="n">
        <x:f>SUM(C4:C8)</x:f>
        <x:v>5690.625</x:v>
      </x:c>
      <x:c r="C12" s="2"/>
      <x:c r="D12" s="2"/>
      <x:c r="E12" s="2"/>
      <x:c r="F12" s="2"/>
      <x:c r="G12" s="2"/>
      <x:c r="H12" s="2"/>
      <x:c r="I12" s="2"/>
      <x:c r="J12" s="2"/>
      <x:c r="K12" s="2"/>
      <x:c r="L12" s="2"/>
      <x:c r="M12" s="2"/>
      <x:c r="N12" s="2"/>
      <x:c r="O12" s="2"/>
      <x:c r="P12" s="2"/>
      <x:c r="Q12" s="2"/>
    </x:row>
    <x:row r="13">
      <x:c r="A13" s="2" t="str">
        <x:v>Mission mass cap kg</x:v>
      </x:c>
      <x:c r="B13" s="20" t="n">
        <x:f>Inputs!B24</x:f>
        <x:v>3500</x:v>
      </x:c>
      <x:c r="C13" s="2"/>
      <x:c r="D13" s="2"/>
      <x:c r="E13" s="2"/>
      <x:c r="F13" s="2"/>
      <x:c r="G13" s="2"/>
      <x:c r="H13" s="2"/>
      <x:c r="I13" s="2"/>
      <x:c r="J13" s="2"/>
      <x:c r="K13" s="2"/>
      <x:c r="L13" s="2"/>
      <x:c r="M13" s="2"/>
      <x:c r="N13" s="2"/>
      <x:c r="O13" s="2"/>
      <x:c r="P13" s="2"/>
      <x:c r="Q13" s="2"/>
    </x:row>
    <x:row r="14">
      <x:c r="A14" s="2" t="str">
        <x:v>Mass margin kg</x:v>
      </x:c>
      <x:c r="B14" s="20" t="n">
        <x:f>B13-B12</x:f>
        <x:v>-2190.625</x:v>
      </x:c>
      <x:c r="C14" s="2"/>
      <x:c r="D14" s="2"/>
      <x:c r="E14" s="2"/>
      <x:c r="F14" s="2"/>
      <x:c r="G14" s="2"/>
      <x:c r="H14" s="2"/>
      <x:c r="I14" s="2"/>
      <x:c r="J14" s="2"/>
      <x:c r="K14" s="2"/>
      <x:c r="L14" s="2"/>
      <x:c r="M14" s="2"/>
      <x:c r="N14" s="2"/>
      <x:c r="O14" s="2"/>
      <x:c r="P14" s="2"/>
      <x:c r="Q14" s="2"/>
    </x:row>
    <x:row r="15">
      <x:c r="A15" s="2" t="str">
        <x:v>Mass margin %</x:v>
      </x:c>
      <x:c r="B15" s="22" t="n">
        <x:f>B14/B13</x:f>
        <x:v>-0.6258928571428571</x:v>
      </x:c>
      <x:c r="C15" s="2"/>
      <x:c r="D15" s="2"/>
      <x:c r="E15" s="2"/>
      <x:c r="F15" s="2"/>
      <x:c r="G15" s="2"/>
      <x:c r="H15" s="2"/>
      <x:c r="I15" s="2"/>
      <x:c r="J15" s="2"/>
      <x:c r="K15" s="2"/>
      <x:c r="L15" s="2"/>
      <x:c r="M15" s="2"/>
      <x:c r="N15" s="2"/>
      <x:c r="O15" s="2"/>
      <x:c r="P15" s="2"/>
      <x:c r="Q15" s="2"/>
    </x:row>
    <x:row r="16">
      <x:c r="A16" s="2" t="str">
        <x:v>Thermal storage leverage kWh_th per landed kg</x:v>
      </x:c>
      <x:c r="B16" s="20" t="n">
        <x:f>'Thermal Bank'!B11/C8</x:f>
        <x:v>0.16851851851851854</x:v>
      </x:c>
      <x:c r="C16" s="2"/>
      <x:c r="D16" s="2"/>
      <x:c r="E16" s="2"/>
      <x:c r="F16" s="2"/>
      <x:c r="G16" s="2"/>
      <x:c r="H16" s="2"/>
      <x:c r="I16" s="2"/>
      <x:c r="J16" s="2"/>
      <x:c r="K16" s="2"/>
      <x:c r="L16" s="2"/>
      <x:c r="M16" s="2"/>
      <x:c r="N16" s="2"/>
      <x:c r="O16" s="2"/>
      <x:c r="P16" s="2"/>
      <x:c r="Q16" s="2"/>
    </x:row>
    <x:row r="17">
      <x:c r="A17" s="2"/>
      <x:c r="B17" s="2"/>
      <x:c r="C17" s="2"/>
      <x:c r="D17" s="2"/>
      <x:c r="E17" s="2"/>
      <x:c r="F17" s="2"/>
      <x:c r="G17" s="2"/>
      <x:c r="H17" s="2"/>
      <x:c r="I17" s="2"/>
      <x:c r="J17" s="2"/>
      <x:c r="K17" s="2"/>
      <x:c r="L17" s="2"/>
      <x:c r="M17" s="2"/>
      <x:c r="N17" s="2"/>
      <x:c r="O17" s="2"/>
      <x:c r="P17" s="2"/>
      <x:c r="Q17" s="2"/>
    </x:row>
    <x:row r="18">
      <x:c r="A18" s="2"/>
      <x:c r="B18" s="2"/>
      <x:c r="C18" s="2"/>
      <x:c r="D18" s="2"/>
      <x:c r="E18" s="2"/>
      <x:c r="F18" s="2"/>
      <x:c r="G18" s="2"/>
      <x:c r="H18" s="2"/>
      <x:c r="I18" s="2"/>
      <x:c r="J18" s="2"/>
      <x:c r="K18" s="2"/>
      <x:c r="L18" s="2"/>
      <x:c r="M18" s="2"/>
      <x:c r="N18" s="2"/>
      <x:c r="O18" s="2"/>
      <x:c r="P18" s="2"/>
      <x:c r="Q18" s="2"/>
    </x:row>
    <x:row r="19">
      <x:c r="A19" s="2"/>
      <x:c r="B19" s="2"/>
      <x:c r="C19" s="2"/>
      <x:c r="D19" s="2"/>
      <x:c r="E19" s="2"/>
      <x:c r="F19" s="2"/>
      <x:c r="G19" s="2"/>
      <x:c r="H19" s="2"/>
      <x:c r="I19" s="2"/>
      <x:c r="J19" s="2"/>
      <x:c r="K19" s="2"/>
      <x:c r="L19" s="2"/>
      <x:c r="M19" s="2"/>
      <x:c r="N19" s="2"/>
      <x:c r="O19" s="2"/>
      <x:c r="P19" s="2"/>
      <x:c r="Q19" s="2"/>
    </x:row>
    <x:row r="20">
      <x:c r="A20" s="2"/>
      <x:c r="B20" s="2"/>
      <x:c r="C20" s="2"/>
      <x:c r="D20" s="2"/>
      <x:c r="E20" s="2"/>
      <x:c r="F20" s="2"/>
      <x:c r="G20" s="2"/>
      <x:c r="H20" s="2"/>
      <x:c r="I20" s="2"/>
      <x:c r="J20" s="2"/>
      <x:c r="K20" s="2"/>
      <x:c r="L20" s="2"/>
      <x:c r="M20" s="2"/>
      <x:c r="N20" s="2"/>
      <x:c r="O20" s="2"/>
      <x:c r="P20" s="2"/>
      <x:c r="Q20" s="2"/>
    </x:row>
    <x:row r="21">
      <x:c r="A21" s="2"/>
      <x:c r="B21" s="2"/>
      <x:c r="C21" s="2"/>
      <x:c r="D21" s="2"/>
      <x:c r="E21" s="2"/>
      <x:c r="F21" s="2"/>
      <x:c r="G21" s="2"/>
      <x:c r="H21" s="2"/>
      <x:c r="I21" s="2"/>
      <x:c r="J21" s="2"/>
      <x:c r="K21" s="2"/>
      <x:c r="L21" s="2"/>
      <x:c r="M21" s="2"/>
      <x:c r="N21" s="2"/>
      <x:c r="O21" s="2"/>
      <x:c r="P21" s="2"/>
      <x:c r="Q21" s="2"/>
    </x:row>
    <x:row r="22">
      <x:c r="A22" s="2"/>
      <x:c r="B22" s="2"/>
      <x:c r="C22" s="2"/>
      <x:c r="D22" s="2"/>
      <x:c r="E22" s="2"/>
      <x:c r="F22" s="2"/>
      <x:c r="G22" s="2"/>
      <x:c r="H22" s="2"/>
      <x:c r="I22" s="2"/>
      <x:c r="J22" s="2"/>
      <x:c r="K22" s="2"/>
      <x:c r="L22" s="2"/>
      <x:c r="M22" s="2"/>
      <x:c r="N22" s="2"/>
      <x:c r="O22" s="2"/>
      <x:c r="P22" s="2"/>
      <x:c r="Q22" s="2"/>
    </x:row>
    <x:row r="23">
      <x:c r="A23" s="2"/>
      <x:c r="B23" s="2"/>
      <x:c r="C23" s="2"/>
      <x:c r="D23" s="2"/>
      <x:c r="E23" s="2"/>
      <x:c r="F23" s="2"/>
      <x:c r="G23" s="2"/>
      <x:c r="H23" s="2"/>
      <x:c r="I23" s="2"/>
      <x:c r="J23" s="2"/>
      <x:c r="K23" s="2"/>
      <x:c r="L23" s="2"/>
      <x:c r="M23" s="2"/>
      <x:c r="N23" s="2"/>
      <x:c r="O23" s="2"/>
      <x:c r="P23" s="2"/>
      <x:c r="Q23" s="2"/>
    </x:row>
    <x:row r="24">
      <x:c r="A24" s="2"/>
      <x:c r="B24" s="2"/>
      <x:c r="C24" s="2"/>
      <x:c r="D24" s="2"/>
      <x:c r="E24" s="2"/>
      <x:c r="F24" s="2"/>
      <x:c r="G24" s="2"/>
      <x:c r="H24" s="2"/>
      <x:c r="I24" s="2"/>
      <x:c r="J24" s="2"/>
      <x:c r="K24" s="2"/>
      <x:c r="L24" s="2"/>
      <x:c r="M24" s="2"/>
      <x:c r="N24" s="2"/>
      <x:c r="O24" s="2"/>
      <x:c r="P24" s="2"/>
      <x:c r="Q24" s="2"/>
    </x:row>
    <x:row r="25">
      <x:c r="A25" s="2"/>
      <x:c r="B25" s="2"/>
      <x:c r="C25" s="2"/>
      <x:c r="D25" s="2"/>
      <x:c r="E25" s="2"/>
      <x:c r="F25" s="2"/>
      <x:c r="G25" s="2"/>
      <x:c r="H25" s="2"/>
      <x:c r="I25" s="2"/>
      <x:c r="J25" s="2"/>
      <x:c r="K25" s="2"/>
      <x:c r="L25" s="2"/>
      <x:c r="M25" s="2"/>
      <x:c r="N25" s="2"/>
      <x:c r="O25" s="2"/>
      <x:c r="P25" s="2"/>
      <x:c r="Q25" s="2"/>
    </x:row>
    <x:row r="26">
      <x:c r="A26" s="2"/>
      <x:c r="B26" s="2"/>
      <x:c r="C26" s="2"/>
      <x:c r="D26" s="2"/>
      <x:c r="E26" s="2"/>
      <x:c r="F26" s="2"/>
      <x:c r="G26" s="2"/>
      <x:c r="H26" s="2"/>
      <x:c r="I26" s="2"/>
      <x:c r="J26" s="2"/>
      <x:c r="K26" s="2"/>
      <x:c r="L26" s="2"/>
      <x:c r="M26" s="2"/>
      <x:c r="N26" s="2"/>
      <x:c r="O26" s="2"/>
      <x:c r="P26" s="2"/>
      <x:c r="Q26" s="2"/>
    </x:row>
    <x:row r="27">
      <x:c r="A27" s="2"/>
      <x:c r="B27" s="2"/>
      <x:c r="C27" s="2"/>
      <x:c r="D27" s="2"/>
      <x:c r="E27" s="2"/>
      <x:c r="F27" s="2"/>
      <x:c r="G27" s="2"/>
      <x:c r="H27" s="2"/>
      <x:c r="I27" s="2"/>
      <x:c r="J27" s="2"/>
      <x:c r="K27" s="2"/>
      <x:c r="L27" s="2"/>
      <x:c r="M27" s="2"/>
      <x:c r="N27" s="2"/>
      <x:c r="O27" s="2"/>
      <x:c r="P27" s="2"/>
      <x:c r="Q27" s="2"/>
    </x:row>
    <x:row r="28">
      <x:c r="A28" s="2"/>
      <x:c r="B28" s="2"/>
      <x:c r="C28" s="2"/>
      <x:c r="D28" s="2"/>
      <x:c r="E28" s="2"/>
      <x:c r="F28" s="2"/>
      <x:c r="G28" s="2"/>
      <x:c r="H28" s="2"/>
      <x:c r="I28" s="2"/>
      <x:c r="J28" s="2"/>
      <x:c r="K28" s="2"/>
      <x:c r="L28" s="2"/>
      <x:c r="M28" s="2"/>
      <x:c r="N28" s="2"/>
      <x:c r="O28" s="2"/>
      <x:c r="P28" s="2"/>
      <x:c r="Q28" s="2"/>
    </x:row>
    <x:row r="29">
      <x:c r="A29" s="2"/>
      <x:c r="B29" s="2"/>
      <x:c r="C29" s="2"/>
      <x:c r="D29" s="2"/>
      <x:c r="E29" s="2"/>
      <x:c r="F29" s="2"/>
      <x:c r="G29" s="2"/>
      <x:c r="H29" s="2"/>
      <x:c r="I29" s="2"/>
      <x:c r="J29" s="2"/>
      <x:c r="K29" s="2"/>
      <x:c r="L29" s="2"/>
      <x:c r="M29" s="2"/>
      <x:c r="N29" s="2"/>
      <x:c r="O29" s="2"/>
      <x:c r="P29" s="2"/>
      <x:c r="Q29" s="2"/>
    </x:row>
    <x:row r="30">
      <x:c r="A30" s="2"/>
      <x:c r="B30" s="2"/>
      <x:c r="C30" s="2"/>
      <x:c r="D30" s="2"/>
      <x:c r="E30" s="2"/>
      <x:c r="F30" s="2"/>
      <x:c r="G30" s="2"/>
      <x:c r="H30" s="2"/>
      <x:c r="I30" s="2"/>
      <x:c r="J30" s="2"/>
      <x:c r="K30" s="2"/>
      <x:c r="L30" s="2"/>
      <x:c r="M30" s="2"/>
      <x:c r="N30" s="2"/>
      <x:c r="O30" s="2"/>
      <x:c r="P30" s="2"/>
      <x:c r="Q30" s="2"/>
    </x:row>
    <x:row r="31">
      <x:c r="A31" s="2"/>
      <x:c r="B31" s="2"/>
      <x:c r="C31" s="2"/>
      <x:c r="D31" s="2"/>
      <x:c r="E31" s="2"/>
      <x:c r="F31" s="2"/>
      <x:c r="G31" s="2"/>
      <x:c r="H31" s="2"/>
      <x:c r="I31" s="2"/>
      <x:c r="J31" s="2"/>
      <x:c r="K31" s="2"/>
      <x:c r="L31" s="2"/>
      <x:c r="M31" s="2"/>
      <x:c r="N31" s="2"/>
      <x:c r="O31" s="2"/>
      <x:c r="P31" s="2"/>
      <x:c r="Q31" s="2"/>
    </x:row>
    <x:row r="32">
      <x:c r="A32" s="2"/>
      <x:c r="B32" s="2"/>
      <x:c r="C32" s="2"/>
      <x:c r="D32" s="2"/>
      <x:c r="E32" s="2"/>
      <x:c r="F32" s="2"/>
      <x:c r="G32" s="2"/>
      <x:c r="H32" s="2"/>
      <x:c r="I32" s="2"/>
      <x:c r="J32" s="2"/>
      <x:c r="K32" s="2"/>
      <x:c r="L32" s="2"/>
      <x:c r="M32" s="2"/>
      <x:c r="N32" s="2"/>
      <x:c r="O32" s="2"/>
      <x:c r="P32" s="2"/>
      <x:c r="Q32" s="2"/>
    </x:row>
    <x:row r="33">
      <x:c r="A33" s="2"/>
      <x:c r="B33" s="2"/>
      <x:c r="C33" s="2"/>
      <x:c r="D33" s="2"/>
      <x:c r="E33" s="2"/>
      <x:c r="F33" s="2"/>
      <x:c r="G33" s="2"/>
      <x:c r="H33" s="2"/>
      <x:c r="I33" s="2"/>
      <x:c r="J33" s="2"/>
      <x:c r="K33" s="2"/>
      <x:c r="L33" s="2"/>
      <x:c r="M33" s="2"/>
      <x:c r="N33" s="2"/>
      <x:c r="O33" s="2"/>
      <x:c r="P33" s="2"/>
      <x:c r="Q33" s="2"/>
    </x:row>
    <x:row r="34">
      <x:c r="A34" s="2"/>
      <x:c r="B34" s="2"/>
      <x:c r="C34" s="2"/>
      <x:c r="D34" s="2"/>
      <x:c r="E34" s="2"/>
      <x:c r="F34" s="2"/>
      <x:c r="G34" s="2"/>
      <x:c r="H34" s="2"/>
      <x:c r="I34" s="2"/>
      <x:c r="J34" s="2"/>
      <x:c r="K34" s="2"/>
      <x:c r="L34" s="2"/>
      <x:c r="M34" s="2"/>
      <x:c r="N34" s="2"/>
      <x:c r="O34" s="2"/>
      <x:c r="P34" s="2"/>
      <x:c r="Q34" s="2"/>
    </x:row>
    <x:row r="35">
      <x:c r="A35" s="2"/>
      <x:c r="B35" s="2"/>
      <x:c r="C35" s="2"/>
      <x:c r="D35" s="2"/>
      <x:c r="E35" s="2"/>
      <x:c r="F35" s="2"/>
      <x:c r="G35" s="2"/>
      <x:c r="H35" s="2"/>
      <x:c r="I35" s="2"/>
      <x:c r="J35" s="2"/>
      <x:c r="K35" s="2"/>
      <x:c r="L35" s="2"/>
      <x:c r="M35" s="2"/>
      <x:c r="N35" s="2"/>
      <x:c r="O35" s="2"/>
      <x:c r="P35" s="2"/>
      <x:c r="Q35" s="2"/>
    </x:row>
    <x:row r="36">
      <x:c r="A36" s="2"/>
      <x:c r="B36" s="2"/>
      <x:c r="C36" s="2"/>
      <x:c r="D36" s="2"/>
      <x:c r="E36" s="2"/>
      <x:c r="F36" s="2"/>
      <x:c r="G36" s="2"/>
      <x:c r="H36" s="2"/>
      <x:c r="I36" s="2"/>
      <x:c r="J36" s="2"/>
      <x:c r="K36" s="2"/>
      <x:c r="L36" s="2"/>
      <x:c r="M36" s="2"/>
      <x:c r="N36" s="2"/>
      <x:c r="O36" s="2"/>
      <x:c r="P36" s="2"/>
      <x:c r="Q36" s="2"/>
    </x:row>
    <x:row r="37">
      <x:c r="A37" s="2"/>
      <x:c r="B37" s="2"/>
      <x:c r="C37" s="2"/>
      <x:c r="D37" s="2"/>
      <x:c r="E37" s="2"/>
      <x:c r="F37" s="2"/>
      <x:c r="G37" s="2"/>
      <x:c r="H37" s="2"/>
      <x:c r="I37" s="2"/>
      <x:c r="J37" s="2"/>
      <x:c r="K37" s="2"/>
      <x:c r="L37" s="2"/>
      <x:c r="M37" s="2"/>
      <x:c r="N37" s="2"/>
      <x:c r="O37" s="2"/>
      <x:c r="P37" s="2"/>
      <x:c r="Q37" s="2"/>
    </x:row>
    <x:row r="38">
      <x:c r="A38" s="2"/>
      <x:c r="B38" s="2"/>
      <x:c r="C38" s="2"/>
      <x:c r="D38" s="2"/>
      <x:c r="E38" s="2"/>
      <x:c r="F38" s="2"/>
      <x:c r="G38" s="2"/>
      <x:c r="H38" s="2"/>
      <x:c r="I38" s="2"/>
      <x:c r="J38" s="2"/>
      <x:c r="K38" s="2"/>
      <x:c r="L38" s="2"/>
      <x:c r="M38" s="2"/>
      <x:c r="N38" s="2"/>
      <x:c r="O38" s="2"/>
      <x:c r="P38" s="2"/>
      <x:c r="Q38" s="2"/>
    </x:row>
    <x:row r="39">
      <x:c r="A39" s="2"/>
      <x:c r="B39" s="2"/>
      <x:c r="C39" s="2"/>
      <x:c r="D39" s="2"/>
      <x:c r="E39" s="2"/>
      <x:c r="F39" s="2"/>
      <x:c r="G39" s="2"/>
      <x:c r="H39" s="2"/>
      <x:c r="I39" s="2"/>
      <x:c r="J39" s="2"/>
      <x:c r="K39" s="2"/>
      <x:c r="L39" s="2"/>
      <x:c r="M39" s="2"/>
      <x:c r="N39" s="2"/>
      <x:c r="O39" s="2"/>
      <x:c r="P39" s="2"/>
      <x:c r="Q39" s="2"/>
    </x:row>
    <x:row r="40">
      <x:c r="A40" s="2"/>
      <x:c r="B40" s="2"/>
      <x:c r="C40" s="2"/>
      <x:c r="D40" s="2"/>
      <x:c r="E40" s="2"/>
      <x:c r="F40" s="2"/>
      <x:c r="G40" s="2"/>
      <x:c r="H40" s="2"/>
      <x:c r="I40" s="2"/>
      <x:c r="J40" s="2"/>
      <x:c r="K40" s="2"/>
      <x:c r="L40" s="2"/>
      <x:c r="M40" s="2"/>
      <x:c r="N40" s="2"/>
      <x:c r="O40" s="2"/>
      <x:c r="P40" s="2"/>
      <x:c r="Q40" s="2"/>
    </x:row>
  </x:sheetData>
  <x:mergeCells>
    <x:mergeCell ref="A1:F1"/>
  </x:mergeCells>
  <x:conditionalFormatting sqref="B14:B15">
    <x:cfRule type="expression" dxfId="0" priority="1">
      <x:formula>B14&lt;0</x:formula>
    </x:cfRule>
  </x:conditionalFormatting>
  <x:pageMargins left="0.7" right="0.7" top="0.75" bottom="0.75" header="0.3" footer="0.3"/>
  <x:drawing xmlns:r="http://schemas.openxmlformats.org/officeDocument/2006/relationships" r:id="R52af4dbd2ab64830"/>
</x:worksheet>
</file>

<file path=xl/worksheets/sheet4.xml><?xml version="1.0" encoding="utf-8"?>
<x:worksheet xmlns:x="http://schemas.openxmlformats.org/spreadsheetml/2006/main">
  <x:sheetFormatPr defaultRowHeight="15"/>
  <x:cols>
    <x:col min="1" max="1" width="8" hidden="0" customWidth="1"/>
    <x:col min="2" max="2" width="12" hidden="0" customWidth="1"/>
    <x:col min="3" max="3" width="10" hidden="0" customWidth="1"/>
    <x:col min="4" max="4" width="12" hidden="0" customWidth="1"/>
    <x:col min="5" max="5" width="12" hidden="0" customWidth="1"/>
    <x:col min="6" max="6" width="18" hidden="0" customWidth="1"/>
    <x:col min="7" max="7" width="18" hidden="0" customWidth="1"/>
    <x:col min="8" max="8" width="14" hidden="0" customWidth="1"/>
    <x:col min="9" max="9" width="12" hidden="0" customWidth="1"/>
    <x:col min="10" max="10" width="20" hidden="0" customWidth="1"/>
    <x:col min="11" max="11" width="20" hidden="0" customWidth="1"/>
    <x:col min="12" max="12" width="14" hidden="0" customWidth="1"/>
    <x:col min="13" max="13" width="14" hidden="0" customWidth="1"/>
    <x:col min="14" max="14" width="16" hidden="0" customWidth="1"/>
    <x:col min="16" max="16" width="28" hidden="0" customWidth="1"/>
    <x:col min="17" max="17" width="16" hidden="0" customWidth="1"/>
  </x:cols>
  <x:sheetData>
    <x:row r="1">
      <x:c r="A1" s="7" t="str">
        <x:v>24-Hour Dispatch — Electrical + Thermal Banking</x:v>
      </x:c>
      <x:c r="B1" s="7"/>
      <x:c r="C1" s="7"/>
      <x:c r="D1" s="7"/>
      <x:c r="E1" s="7"/>
      <x:c r="F1" s="7"/>
      <x:c r="G1" s="7"/>
      <x:c r="H1" s="7"/>
      <x:c r="I1" s="7"/>
      <x:c r="J1" s="7"/>
      <x:c r="K1" s="7"/>
      <x:c r="L1" s="7"/>
      <x:c r="M1" s="7"/>
      <x:c r="N1" s="7"/>
      <x:c r="O1" s="2"/>
      <x:c r="P1" s="2"/>
      <x:c r="Q1" s="2"/>
    </x:row>
    <x:row r="2">
      <x:c r="A2" s="2"/>
      <x:c r="B2" s="2"/>
      <x:c r="C2" s="2"/>
      <x:c r="D2" s="2"/>
      <x:c r="E2" s="2"/>
      <x:c r="F2" s="2"/>
      <x:c r="G2" s="2"/>
      <x:c r="H2" s="2"/>
      <x:c r="I2" s="2"/>
      <x:c r="J2" s="2"/>
      <x:c r="K2" s="2"/>
      <x:c r="L2" s="2"/>
      <x:c r="M2" s="2"/>
      <x:c r="N2" s="2"/>
      <x:c r="O2" s="2"/>
      <x:c r="P2" s="2"/>
      <x:c r="Q2" s="2"/>
    </x:row>
    <x:row r="3">
      <x:c r="A3" s="15" t="str">
        <x:v>Hour</x:v>
      </x:c>
      <x:c r="B3" s="15" t="str">
        <x:v>Load kW</x:v>
      </x:c>
      <x:c r="C3" s="15" t="str">
        <x:v>Solar frac</x:v>
      </x:c>
      <x:c r="D3" s="15" t="str">
        <x:v>Solar kW</x:v>
      </x:c>
      <x:c r="E3" s="15" t="str">
        <x:v>Fission kW</x:v>
      </x:c>
      <x:c r="F3" s="15" t="str">
        <x:v>Net before storage kW</x:v>
      </x:c>
      <x:c r="G3" s="15" t="str">
        <x:v>Battery SOC kWh</x:v>
      </x:c>
      <x:c r="H3" s="15" t="str">
        <x:v>Battery Δ kWh</x:v>
      </x:c>
      <x:c r="I3" s="15" t="str">
        <x:v>Excess kWh</x:v>
      </x:c>
      <x:c r="J3" s="15" t="str">
        <x:v>Thermal bank charge kWh</x:v>
      </x:c>
      <x:c r="K3" s="15" t="str">
        <x:v>Thermal bank SOC kWh</x:v>
      </x:c>
      <x:c r="L3" s="15" t="str">
        <x:v>Curtailed kWh</x:v>
      </x:c>
      <x:c r="M3" s="15" t="str">
        <x:v>Unserved kWh</x:v>
      </x:c>
      <x:c r="N3" s="15" t="str">
        <x:v>Mode</x:v>
      </x:c>
      <x:c r="O3" s="2"/>
      <x:c r="P3" s="2" t="str">
        <x:v>Dispatch KPI</x:v>
      </x:c>
      <x:c r="Q3" s="2" t="str">
        <x:v>Value</x:v>
      </x:c>
    </x:row>
    <x:row r="4">
      <x:c r="A4" s="2" t="n">
        <x:v>0</x:v>
      </x:c>
      <x:c r="B4" s="20" t="n">
        <x:f>9.51/12.501666666666667*Inputs!B5</x:f>
        <x:v>9.508732169044128</x:v>
      </x:c>
      <x:c r="C4" s="20" t="n">
        <x:v>0.7</x:v>
      </x:c>
      <x:c r="D4" s="20" t="n">
        <x:f>C4*Inputs!B7</x:f>
        <x:v>14</x:v>
      </x:c>
      <x:c r="E4" s="20" t="n">
        <x:f>Inputs!B11*Inputs!B12</x:f>
        <x:v>38</x:v>
      </x:c>
      <x:c r="F4" s="20" t="n">
        <x:f>D4+E4-B4</x:f>
        <x:v>42.49126783095587</x:v>
      </x:c>
      <x:c r="G4" s="20" t="n">
        <x:f>Inputs!B9*0.95</x:f>
        <x:v>112.57499999999999</x:v>
      </x:c>
      <x:c r="H4" s="20" t="n">
        <x:f>IF(F4&gt;=0,MIN(F4,Inputs!B9-G4),-MIN(-F4,MAX(0,G4-Inputs!B9*(1-Inputs!B10))))</x:f>
        <x:v>5.925000000000011</x:v>
      </x:c>
      <x:c r="I4" s="20" t="n">
        <x:f>MAX(0,F4-MAX(0,H4))</x:f>
        <x:v>36.56626783095586</x:v>
      </x:c>
      <x:c r="J4" s="20" t="n">
        <x:f>MIN(I4*Inputs!B16,MAX(0,'Thermal Bank'!B11-K4))</x:f>
        <x:v>29.253014264764687</x:v>
      </x:c>
      <x:c r="K4" s="20" t="n">
        <x:f>'Thermal Bank'!B11*0.10</x:f>
        <x:v>5.055555555555557</x:v>
      </x:c>
      <x:c r="L4" s="20" t="n">
        <x:f>MAX(0,I4-J4/Inputs!B16)</x:f>
        <x:v>0</x:v>
      </x:c>
      <x:c r="M4" s="20" t="n">
        <x:f>MAX(0,-F4-MAX(0,-H4))</x:f>
        <x:v>0</x:v>
      </x:c>
      <x:c r="N4" s="2" t="str">
        <x:f>IF(M4&gt;0,"UNSERVED",IF(F4&lt;0,"BATTERY",IF(J4&gt;0,"THERMAL BANK",IF(H4&gt;0,"BATTERY CHARGE","CURTAIL"))))</x:f>
        <x:v>THERMAL BANK</x:v>
      </x:c>
      <x:c r="O4" s="2"/>
      <x:c r="P4" s="2" t="str">
        <x:v>Daily station energy kWh</x:v>
      </x:c>
      <x:c r="Q4" s="20" t="n">
        <x:f>SUM(B4:B27)</x:f>
        <x:v>299.9999999999999</x:v>
      </x:c>
    </x:row>
    <x:row r="5">
      <x:c r="A5" s="2" t="n">
        <x:v>1</x:v>
      </x:c>
      <x:c r="B5" s="20" t="n">
        <x:f>9.21/12.501666666666667*Inputs!B5</x:f>
        <x:v>9.208772163711505</x:v>
      </x:c>
      <x:c r="C5" s="20" t="n">
        <x:v>0.7</x:v>
      </x:c>
      <x:c r="D5" s="20" t="n">
        <x:f>C5*Inputs!B7</x:f>
        <x:v>14</x:v>
      </x:c>
      <x:c r="E5" s="20" t="n">
        <x:f>Inputs!B11*Inputs!B12</x:f>
        <x:v>38</x:v>
      </x:c>
      <x:c r="F5" s="20" t="n">
        <x:f>D5+E5-B5</x:f>
        <x:v>42.7912278362885</x:v>
      </x:c>
      <x:c r="G5" s="20" t="n">
        <x:f>MAX(0,MIN(Inputs!B9,G4+H4))</x:f>
        <x:v>118.5</x:v>
      </x:c>
      <x:c r="H5" s="20" t="n">
        <x:f>IF(F5&gt;=0,MIN(F5,Inputs!B9-G5),-MIN(-F5,MAX(0,G5-Inputs!B9*(1-Inputs!B10))))</x:f>
        <x:v>0</x:v>
      </x:c>
      <x:c r="I5" s="20" t="n">
        <x:f>MAX(0,F5-MAX(0,H5))</x:f>
        <x:v>42.7912278362885</x:v>
      </x:c>
      <x:c r="J5" s="20" t="n">
        <x:f>MIN(I5*Inputs!B16,MAX(0,'Thermal Bank'!B11-K5))</x:f>
        <x:v>16.24698573523532</x:v>
      </x:c>
      <x:c r="K5" s="20" t="n">
        <x:f>MAX(0,MIN('Thermal Bank'!B11,K4+J4))</x:f>
        <x:v>34.308569820320244</x:v>
      </x:c>
      <x:c r="L5" s="20" t="n">
        <x:f>MAX(0,I5-J5/Inputs!B16)</x:f>
        <x:v>22.48249566724435</x:v>
      </x:c>
      <x:c r="M5" s="20" t="n">
        <x:f>MAX(0,-F5-MAX(0,-H5))</x:f>
        <x:v>0</x:v>
      </x:c>
      <x:c r="N5" s="2" t="str">
        <x:f>IF(M5&gt;0,"UNSERVED",IF(F5&lt;0,"BATTERY",IF(J5&gt;0,"THERMAL BANK",IF(H5&gt;0,"BATTERY CHARGE","CURTAIL"))))</x:f>
        <x:v>THERMAL BANK</x:v>
      </x:c>
      <x:c r="O5" s="2"/>
      <x:c r="P5" s="2" t="str">
        <x:v>Solar energy kWh</x:v>
      </x:c>
      <x:c r="Q5" s="20" t="n">
        <x:f>SUM(D4:D27)</x:f>
        <x:v>286</x:v>
      </x:c>
    </x:row>
    <x:row r="6">
      <x:c r="A6" s="2" t="n">
        <x:v>2</x:v>
      </x:c>
      <x:c r="B6" s="20" t="n">
        <x:f>9.01/12.501666666666667*Inputs!B5</x:f>
        <x:v>9.00879882682309</x:v>
      </x:c>
      <x:c r="C6" s="20" t="n">
        <x:v>0.65</x:v>
      </x:c>
      <x:c r="D6" s="20" t="n">
        <x:f>C6*Inputs!B7</x:f>
        <x:v>13</x:v>
      </x:c>
      <x:c r="E6" s="20" t="n">
        <x:f>Inputs!B11*Inputs!B12</x:f>
        <x:v>38</x:v>
      </x:c>
      <x:c r="F6" s="20" t="n">
        <x:f>D6+E6-B6</x:f>
        <x:v>41.99120117317691</x:v>
      </x:c>
      <x:c r="G6" s="20" t="n">
        <x:f>MAX(0,MIN(Inputs!B9,G5+H5))</x:f>
        <x:v>118.5</x:v>
      </x:c>
      <x:c r="H6" s="20" t="n">
        <x:f>IF(F6&gt;=0,MIN(F6,Inputs!B9-G6),-MIN(-F6,MAX(0,G6-Inputs!B9*(1-Inputs!B10))))</x:f>
        <x:v>0</x:v>
      </x:c>
      <x:c r="I6" s="20" t="n">
        <x:f>MAX(0,F6-MAX(0,H6))</x:f>
        <x:v>41.99120117317691</x:v>
      </x:c>
      <x:c r="J6" s="20" t="n">
        <x:f>MIN(I6*Inputs!B16,MAX(0,'Thermal Bank'!B11-K6))</x:f>
        <x:v>0</x:v>
      </x:c>
      <x:c r="K6" s="20" t="n">
        <x:f>MAX(0,MIN('Thermal Bank'!B11,K5+J5))</x:f>
        <x:v>50.555555555555564</x:v>
      </x:c>
      <x:c r="L6" s="20" t="n">
        <x:f>MAX(0,I6-J6/Inputs!B16)</x:f>
        <x:v>41.99120117317691</x:v>
      </x:c>
      <x:c r="M6" s="20" t="n">
        <x:f>MAX(0,-F6-MAX(0,-H6))</x:f>
        <x:v>0</x:v>
      </x:c>
      <x:c r="N6" s="2" t="str">
        <x:f>IF(M6&gt;0,"UNSERVED",IF(F6&lt;0,"BATTERY",IF(J6&gt;0,"THERMAL BANK",IF(H6&gt;0,"BATTERY CHARGE","CURTAIL"))))</x:f>
        <x:v>CURTAIL</x:v>
      </x:c>
      <x:c r="O6" s="2"/>
      <x:c r="P6" s="2" t="str">
        <x:v>Fission energy kWh</x:v>
      </x:c>
      <x:c r="Q6" s="20" t="n">
        <x:f>SUM(E4:E27)</x:f>
        <x:v>912</x:v>
      </x:c>
    </x:row>
    <x:row r="7">
      <x:c r="A7" s="2" t="n">
        <x:v>3</x:v>
      </x:c>
      <x:c r="B7" s="20" t="n">
        <x:f>9.01/12.501666666666667*Inputs!B5</x:f>
        <x:v>9.00879882682309</x:v>
      </x:c>
      <x:c r="C7" s="20" t="n">
        <x:v>0.2</x:v>
      </x:c>
      <x:c r="D7" s="20" t="n">
        <x:f>C7*Inputs!B7</x:f>
        <x:v>4</x:v>
      </x:c>
      <x:c r="E7" s="20" t="n">
        <x:f>Inputs!B11*Inputs!B12</x:f>
        <x:v>38</x:v>
      </x:c>
      <x:c r="F7" s="20" t="n">
        <x:f>D7+E7-B7</x:f>
        <x:v>32.99120117317691</x:v>
      </x:c>
      <x:c r="G7" s="20" t="n">
        <x:f>MAX(0,MIN(Inputs!B9,G6+H6))</x:f>
        <x:v>118.5</x:v>
      </x:c>
      <x:c r="H7" s="20" t="n">
        <x:f>IF(F7&gt;=0,MIN(F7,Inputs!B9-G7),-MIN(-F7,MAX(0,G7-Inputs!B9*(1-Inputs!B10))))</x:f>
        <x:v>0</x:v>
      </x:c>
      <x:c r="I7" s="20" t="n">
        <x:f>MAX(0,F7-MAX(0,H7))</x:f>
        <x:v>32.99120117317691</x:v>
      </x:c>
      <x:c r="J7" s="20" t="n">
        <x:f>MIN(I7*Inputs!B16,MAX(0,'Thermal Bank'!B11-K7))</x:f>
        <x:v>0</x:v>
      </x:c>
      <x:c r="K7" s="20" t="n">
        <x:f>MAX(0,MIN('Thermal Bank'!B11,K6+J6))</x:f>
        <x:v>50.555555555555564</x:v>
      </x:c>
      <x:c r="L7" s="20" t="n">
        <x:f>MAX(0,I7-J7/Inputs!B16)</x:f>
        <x:v>32.99120117317691</x:v>
      </x:c>
      <x:c r="M7" s="20" t="n">
        <x:f>MAX(0,-F7-MAX(0,-H7))</x:f>
        <x:v>0</x:v>
      </x:c>
      <x:c r="N7" s="2" t="str">
        <x:f>IF(M7&gt;0,"UNSERVED",IF(F7&lt;0,"BATTERY",IF(J7&gt;0,"THERMAL BANK",IF(H7&gt;0,"BATTERY CHARGE","CURTAIL"))))</x:f>
        <x:v>CURTAIL</x:v>
      </x:c>
      <x:c r="O7" s="2"/>
      <x:c r="P7" s="2" t="str">
        <x:v>Battery minimum SOC kWh</x:v>
      </x:c>
      <x:c r="Q7" s="20" t="n">
        <x:f>MIN(G4:G27)</x:f>
        <x:v>112.57499999999999</x:v>
      </x:c>
    </x:row>
    <x:row r="8">
      <x:c r="A8" s="2" t="n">
        <x:v>4</x:v>
      </x:c>
      <x:c r="B8" s="20" t="n">
        <x:f>9.31/12.501666666666667*Inputs!B5</x:f>
        <x:v>9.308758832155712</x:v>
      </x:c>
      <x:c r="C8" s="20" t="n">
        <x:v>0</x:v>
      </x:c>
      <x:c r="D8" s="20" t="n">
        <x:f>C8*Inputs!B7</x:f>
        <x:v>0</x:v>
      </x:c>
      <x:c r="E8" s="20" t="n">
        <x:f>Inputs!B11*Inputs!B12</x:f>
        <x:v>38</x:v>
      </x:c>
      <x:c r="F8" s="20" t="n">
        <x:f>D8+E8-B8</x:f>
        <x:v>28.69124116784429</x:v>
      </x:c>
      <x:c r="G8" s="20" t="n">
        <x:f>MAX(0,MIN(Inputs!B9,G7+H7))</x:f>
        <x:v>118.5</x:v>
      </x:c>
      <x:c r="H8" s="20" t="n">
        <x:f>IF(F8&gt;=0,MIN(F8,Inputs!B9-G8),-MIN(-F8,MAX(0,G8-Inputs!B9*(1-Inputs!B10))))</x:f>
        <x:v>0</x:v>
      </x:c>
      <x:c r="I8" s="20" t="n">
        <x:f>MAX(0,F8-MAX(0,H8))</x:f>
        <x:v>28.69124116784429</x:v>
      </x:c>
      <x:c r="J8" s="20" t="n">
        <x:f>MIN(I8*Inputs!B16,MAX(0,'Thermal Bank'!B11-K8))</x:f>
        <x:v>0</x:v>
      </x:c>
      <x:c r="K8" s="20" t="n">
        <x:f>MAX(0,MIN('Thermal Bank'!B11,K7+J7))</x:f>
        <x:v>50.555555555555564</x:v>
      </x:c>
      <x:c r="L8" s="20" t="n">
        <x:f>MAX(0,I8-J8/Inputs!B16)</x:f>
        <x:v>28.69124116784429</x:v>
      </x:c>
      <x:c r="M8" s="20" t="n">
        <x:f>MAX(0,-F8-MAX(0,-H8))</x:f>
        <x:v>0</x:v>
      </x:c>
      <x:c r="N8" s="2" t="str">
        <x:f>IF(M8&gt;0,"UNSERVED",IF(F8&lt;0,"BATTERY",IF(J8&gt;0,"THERMAL BANK",IF(H8&gt;0,"BATTERY CHARGE","CURTAIL"))))</x:f>
        <x:v>CURTAIL</x:v>
      </x:c>
      <x:c r="O8" s="2"/>
      <x:c r="P8" s="2" t="str">
        <x:v>Battery minimum SOC %</x:v>
      </x:c>
      <x:c r="Q8" s="22" t="n">
        <x:f>Q7/Inputs!B9</x:f>
        <x:v>0.95</x:v>
      </x:c>
    </x:row>
    <x:row r="9">
      <x:c r="A9" s="2" t="n">
        <x:v>5</x:v>
      </x:c>
      <x:c r="B9" s="20" t="n">
        <x:f>10.01/12.501666666666667*Inputs!B5</x:f>
        <x:v>10.008665511265164</x:v>
      </x:c>
      <x:c r="C9" s="20" t="n">
        <x:v>0</x:v>
      </x:c>
      <x:c r="D9" s="20" t="n">
        <x:f>C9*Inputs!B7</x:f>
        <x:v>0</x:v>
      </x:c>
      <x:c r="E9" s="20" t="n">
        <x:f>Inputs!B11*Inputs!B12</x:f>
        <x:v>38</x:v>
      </x:c>
      <x:c r="F9" s="20" t="n">
        <x:f>D9+E9-B9</x:f>
        <x:v>27.991334488734836</x:v>
      </x:c>
      <x:c r="G9" s="20" t="n">
        <x:f>MAX(0,MIN(Inputs!B9,G8+H8))</x:f>
        <x:v>118.5</x:v>
      </x:c>
      <x:c r="H9" s="20" t="n">
        <x:f>IF(F9&gt;=0,MIN(F9,Inputs!B9-G9),-MIN(-F9,MAX(0,G9-Inputs!B9*(1-Inputs!B10))))</x:f>
        <x:v>0</x:v>
      </x:c>
      <x:c r="I9" s="20" t="n">
        <x:f>MAX(0,F9-MAX(0,H9))</x:f>
        <x:v>27.991334488734836</x:v>
      </x:c>
      <x:c r="J9" s="20" t="n">
        <x:f>MIN(I9*Inputs!B16,MAX(0,'Thermal Bank'!B11-K9))</x:f>
        <x:v>0</x:v>
      </x:c>
      <x:c r="K9" s="20" t="n">
        <x:f>MAX(0,MIN('Thermal Bank'!B11,K8+J8))</x:f>
        <x:v>50.555555555555564</x:v>
      </x:c>
      <x:c r="L9" s="20" t="n">
        <x:f>MAX(0,I9-J9/Inputs!B16)</x:f>
        <x:v>27.991334488734836</x:v>
      </x:c>
      <x:c r="M9" s="20" t="n">
        <x:f>MAX(0,-F9-MAX(0,-H9))</x:f>
        <x:v>0</x:v>
      </x:c>
      <x:c r="N9" s="2" t="str">
        <x:f>IF(M9&gt;0,"UNSERVED",IF(F9&lt;0,"BATTERY",IF(J9&gt;0,"THERMAL BANK",IF(H9&gt;0,"BATTERY CHARGE","CURTAIL"))))</x:f>
        <x:v>CURTAIL</x:v>
      </x:c>
      <x:c r="O9" s="2"/>
      <x:c r="P9" s="2" t="str">
        <x:v>Thermal energy banked kWh</x:v>
      </x:c>
      <x:c r="Q9" s="20" t="n">
        <x:f>SUM(J4:J27)</x:f>
        <x:v>45.50000000000001</x:v>
      </x:c>
    </x:row>
    <x:row r="10">
      <x:c r="A10" s="2" t="n">
        <x:v>6</x:v>
      </x:c>
      <x:c r="B10" s="20" t="n">
        <x:f>11.51/12.501666666666667*Inputs!B5</x:f>
        <x:v>11.508465537928275</x:v>
      </x:c>
      <x:c r="C10" s="20" t="n">
        <x:v>0</x:v>
      </x:c>
      <x:c r="D10" s="20" t="n">
        <x:f>C10*Inputs!B7</x:f>
        <x:v>0</x:v>
      </x:c>
      <x:c r="E10" s="20" t="n">
        <x:f>Inputs!B11*Inputs!B12</x:f>
        <x:v>38</x:v>
      </x:c>
      <x:c r="F10" s="20" t="n">
        <x:f>D10+E10-B10</x:f>
        <x:v>26.491534462071726</x:v>
      </x:c>
      <x:c r="G10" s="20" t="n">
        <x:f>MAX(0,MIN(Inputs!B9,G9+H9))</x:f>
        <x:v>118.5</x:v>
      </x:c>
      <x:c r="H10" s="20" t="n">
        <x:f>IF(F10&gt;=0,MIN(F10,Inputs!B9-G10),-MIN(-F10,MAX(0,G10-Inputs!B9*(1-Inputs!B10))))</x:f>
        <x:v>0</x:v>
      </x:c>
      <x:c r="I10" s="20" t="n">
        <x:f>MAX(0,F10-MAX(0,H10))</x:f>
        <x:v>26.491534462071726</x:v>
      </x:c>
      <x:c r="J10" s="20" t="n">
        <x:f>MIN(I10*Inputs!B16,MAX(0,'Thermal Bank'!B11-K10))</x:f>
        <x:v>0</x:v>
      </x:c>
      <x:c r="K10" s="20" t="n">
        <x:f>MAX(0,MIN('Thermal Bank'!B11,K9+J9))</x:f>
        <x:v>50.555555555555564</x:v>
      </x:c>
      <x:c r="L10" s="20" t="n">
        <x:f>MAX(0,I10-J10/Inputs!B16)</x:f>
        <x:v>26.491534462071726</x:v>
      </x:c>
      <x:c r="M10" s="20" t="n">
        <x:f>MAX(0,-F10-MAX(0,-H10))</x:f>
        <x:v>0</x:v>
      </x:c>
      <x:c r="N10" s="2" t="str">
        <x:f>IF(M10&gt;0,"UNSERVED",IF(F10&lt;0,"BATTERY",IF(J10&gt;0,"THERMAL BANK",IF(H10&gt;0,"BATTERY CHARGE","CURTAIL"))))</x:f>
        <x:v>CURTAIL</x:v>
      </x:c>
      <x:c r="O10" s="2"/>
      <x:c r="P10" s="2" t="str">
        <x:v>Curtailed electrical energy kWh</x:v>
      </x:c>
      <x:c r="Q10" s="20" t="n">
        <x:f>SUM(L4:L27)</x:f>
        <x:v>835.1999999999999</x:v>
      </x:c>
    </x:row>
    <x:row r="11">
      <x:c r="A11" s="2" t="n">
        <x:v>7</x:v>
      </x:c>
      <x:c r="B11" s="20" t="n">
        <x:f>13.51/12.501666666666667*Inputs!B5</x:f>
        <x:v>13.508198906812424</x:v>
      </x:c>
      <x:c r="C11" s="20" t="n">
        <x:v>0</x:v>
      </x:c>
      <x:c r="D11" s="20" t="n">
        <x:f>C11*Inputs!B7</x:f>
        <x:v>0</x:v>
      </x:c>
      <x:c r="E11" s="20" t="n">
        <x:f>Inputs!B11*Inputs!B12</x:f>
        <x:v>38</x:v>
      </x:c>
      <x:c r="F11" s="20" t="n">
        <x:f>D11+E11-B11</x:f>
        <x:v>24.491801093187576</x:v>
      </x:c>
      <x:c r="G11" s="20" t="n">
        <x:f>MAX(0,MIN(Inputs!B9,G10+H10))</x:f>
        <x:v>118.5</x:v>
      </x:c>
      <x:c r="H11" s="20" t="n">
        <x:f>IF(F11&gt;=0,MIN(F11,Inputs!B9-G11),-MIN(-F11,MAX(0,G11-Inputs!B9*(1-Inputs!B10))))</x:f>
        <x:v>0</x:v>
      </x:c>
      <x:c r="I11" s="20" t="n">
        <x:f>MAX(0,F11-MAX(0,H11))</x:f>
        <x:v>24.491801093187576</x:v>
      </x:c>
      <x:c r="J11" s="20" t="n">
        <x:f>MIN(I11*Inputs!B16,MAX(0,'Thermal Bank'!B11-K11))</x:f>
        <x:v>0</x:v>
      </x:c>
      <x:c r="K11" s="20" t="n">
        <x:f>MAX(0,MIN('Thermal Bank'!B11,K10+J10))</x:f>
        <x:v>50.555555555555564</x:v>
      </x:c>
      <x:c r="L11" s="20" t="n">
        <x:f>MAX(0,I11-J11/Inputs!B16)</x:f>
        <x:v>24.491801093187576</x:v>
      </x:c>
      <x:c r="M11" s="20" t="n">
        <x:f>MAX(0,-F11-MAX(0,-H11))</x:f>
        <x:v>0</x:v>
      </x:c>
      <x:c r="N11" s="2" t="str">
        <x:f>IF(M11&gt;0,"UNSERVED",IF(F11&lt;0,"BATTERY",IF(J11&gt;0,"THERMAL BANK",IF(H11&gt;0,"BATTERY CHARGE","CURTAIL"))))</x:f>
        <x:v>CURTAIL</x:v>
      </x:c>
      <x:c r="O11" s="2"/>
      <x:c r="P11" s="2" t="str">
        <x:v>Unserved electrical energy kWh</x:v>
      </x:c>
      <x:c r="Q11" s="20" t="n">
        <x:f>SUM(M4:M27)</x:f>
        <x:v>0</x:v>
      </x:c>
    </x:row>
    <x:row r="12">
      <x:c r="A12" s="2" t="n">
        <x:v>8</x:v>
      </x:c>
      <x:c r="B12" s="20" t="n">
        <x:f>15.01/12.501666666666667*Inputs!B5</x:f>
        <x:v>15.007998933475536</x:v>
      </x:c>
      <x:c r="C12" s="20" t="n">
        <x:v>0.15</x:v>
      </x:c>
      <x:c r="D12" s="20" t="n">
        <x:f>C12*Inputs!B7</x:f>
        <x:v>3</x:v>
      </x:c>
      <x:c r="E12" s="20" t="n">
        <x:f>Inputs!B11*Inputs!B12</x:f>
        <x:v>38</x:v>
      </x:c>
      <x:c r="F12" s="20" t="n">
        <x:f>D12+E12-B12</x:f>
        <x:v>25.992001066524466</x:v>
      </x:c>
      <x:c r="G12" s="20" t="n">
        <x:f>MAX(0,MIN(Inputs!B9,G11+H11))</x:f>
        <x:v>118.5</x:v>
      </x:c>
      <x:c r="H12" s="20" t="n">
        <x:f>IF(F12&gt;=0,MIN(F12,Inputs!B9-G12),-MIN(-F12,MAX(0,G12-Inputs!B9*(1-Inputs!B10))))</x:f>
        <x:v>0</x:v>
      </x:c>
      <x:c r="I12" s="20" t="n">
        <x:f>MAX(0,F12-MAX(0,H12))</x:f>
        <x:v>25.992001066524466</x:v>
      </x:c>
      <x:c r="J12" s="20" t="n">
        <x:f>MIN(I12*Inputs!B16,MAX(0,'Thermal Bank'!B11-K12))</x:f>
        <x:v>0</x:v>
      </x:c>
      <x:c r="K12" s="20" t="n">
        <x:f>MAX(0,MIN('Thermal Bank'!B11,K11+J11))</x:f>
        <x:v>50.555555555555564</x:v>
      </x:c>
      <x:c r="L12" s="20" t="n">
        <x:f>MAX(0,I12-J12/Inputs!B16)</x:f>
        <x:v>25.992001066524466</x:v>
      </x:c>
      <x:c r="M12" s="20" t="n">
        <x:f>MAX(0,-F12-MAX(0,-H12))</x:f>
        <x:v>0</x:v>
      </x:c>
      <x:c r="N12" s="2" t="str">
        <x:f>IF(M12&gt;0,"UNSERVED",IF(F12&lt;0,"BATTERY",IF(J12&gt;0,"THERMAL BANK",IF(H12&gt;0,"BATTERY CHARGE","CURTAIL"))))</x:f>
        <x:v>CURTAIL</x:v>
      </x:c>
      <x:c r="O12" s="2"/>
      <x:c r="P12" s="2"/>
      <x:c r="Q12" s="2"/>
    </x:row>
    <x:row r="13">
      <x:c r="A13" s="2" t="n">
        <x:v>9</x:v>
      </x:c>
      <x:c r="B13" s="20" t="n">
        <x:f>14.01/12.501666666666667*Inputs!B5</x:f>
        <x:v>14.008132249033462</x:v>
      </x:c>
      <x:c r="C13" s="20" t="n">
        <x:v>0.4</x:v>
      </x:c>
      <x:c r="D13" s="20" t="n">
        <x:f>C13*Inputs!B7</x:f>
        <x:v>8</x:v>
      </x:c>
      <x:c r="E13" s="20" t="n">
        <x:f>Inputs!B11*Inputs!B12</x:f>
        <x:v>38</x:v>
      </x:c>
      <x:c r="F13" s="20" t="n">
        <x:f>D13+E13-B13</x:f>
        <x:v>31.991867750966538</x:v>
      </x:c>
      <x:c r="G13" s="20" t="n">
        <x:f>MAX(0,MIN(Inputs!B9,G12+H12))</x:f>
        <x:v>118.5</x:v>
      </x:c>
      <x:c r="H13" s="20" t="n">
        <x:f>IF(F13&gt;=0,MIN(F13,Inputs!B9-G13),-MIN(-F13,MAX(0,G13-Inputs!B9*(1-Inputs!B10))))</x:f>
        <x:v>0</x:v>
      </x:c>
      <x:c r="I13" s="20" t="n">
        <x:f>MAX(0,F13-MAX(0,H13))</x:f>
        <x:v>31.991867750966538</x:v>
      </x:c>
      <x:c r="J13" s="20" t="n">
        <x:f>MIN(I13*Inputs!B16,MAX(0,'Thermal Bank'!B11-K13))</x:f>
        <x:v>0</x:v>
      </x:c>
      <x:c r="K13" s="20" t="n">
        <x:f>MAX(0,MIN('Thermal Bank'!B11,K12+J12))</x:f>
        <x:v>50.555555555555564</x:v>
      </x:c>
      <x:c r="L13" s="20" t="n">
        <x:f>MAX(0,I13-J13/Inputs!B16)</x:f>
        <x:v>31.991867750966538</x:v>
      </x:c>
      <x:c r="M13" s="20" t="n">
        <x:f>MAX(0,-F13-MAX(0,-H13))</x:f>
        <x:v>0</x:v>
      </x:c>
      <x:c r="N13" s="2" t="str">
        <x:f>IF(M13&gt;0,"UNSERVED",IF(F13&lt;0,"BATTERY",IF(J13&gt;0,"THERMAL BANK",IF(H13&gt;0,"BATTERY CHARGE","CURTAIL"))))</x:f>
        <x:v>CURTAIL</x:v>
      </x:c>
      <x:c r="O13" s="2"/>
      <x:c r="P13" s="2"/>
      <x:c r="Q13" s="2"/>
    </x:row>
    <x:row r="14">
      <x:c r="A14" s="2" t="n">
        <x:v>10</x:v>
      </x:c>
      <x:c r="B14" s="20" t="n">
        <x:f>12.51/12.501666666666667*Inputs!B5</x:f>
        <x:v>12.508332222370349</x:v>
      </x:c>
      <x:c r="C14" s="20" t="n">
        <x:v>0.7</x:v>
      </x:c>
      <x:c r="D14" s="20" t="n">
        <x:f>C14*Inputs!B7</x:f>
        <x:v>14</x:v>
      </x:c>
      <x:c r="E14" s="20" t="n">
        <x:f>Inputs!B11*Inputs!B12</x:f>
        <x:v>38</x:v>
      </x:c>
      <x:c r="F14" s="20" t="n">
        <x:f>D14+E14-B14</x:f>
        <x:v>39.49166777762965</x:v>
      </x:c>
      <x:c r="G14" s="20" t="n">
        <x:f>MAX(0,MIN(Inputs!B9,G13+H13))</x:f>
        <x:v>118.5</x:v>
      </x:c>
      <x:c r="H14" s="20" t="n">
        <x:f>IF(F14&gt;=0,MIN(F14,Inputs!B9-G14),-MIN(-F14,MAX(0,G14-Inputs!B9*(1-Inputs!B10))))</x:f>
        <x:v>0</x:v>
      </x:c>
      <x:c r="I14" s="20" t="n">
        <x:f>MAX(0,F14-MAX(0,H14))</x:f>
        <x:v>39.49166777762965</x:v>
      </x:c>
      <x:c r="J14" s="20" t="n">
        <x:f>MIN(I14*Inputs!B16,MAX(0,'Thermal Bank'!B11-K14))</x:f>
        <x:v>0</x:v>
      </x:c>
      <x:c r="K14" s="20" t="n">
        <x:f>MAX(0,MIN('Thermal Bank'!B11,K13+J13))</x:f>
        <x:v>50.555555555555564</x:v>
      </x:c>
      <x:c r="L14" s="20" t="n">
        <x:f>MAX(0,I14-J14/Inputs!B16)</x:f>
        <x:v>39.49166777762965</x:v>
      </x:c>
      <x:c r="M14" s="20" t="n">
        <x:f>MAX(0,-F14-MAX(0,-H14))</x:f>
        <x:v>0</x:v>
      </x:c>
      <x:c r="N14" s="2" t="str">
        <x:f>IF(M14&gt;0,"UNSERVED",IF(F14&lt;0,"BATTERY",IF(J14&gt;0,"THERMAL BANK",IF(H14&gt;0,"BATTERY CHARGE","CURTAIL"))))</x:f>
        <x:v>CURTAIL</x:v>
      </x:c>
      <x:c r="O14" s="2"/>
      <x:c r="P14" s="2"/>
      <x:c r="Q14" s="2"/>
    </x:row>
    <x:row r="15">
      <x:c r="A15" s="2" t="n">
        <x:v>11</x:v>
      </x:c>
      <x:c r="B15" s="20" t="n">
        <x:f>11.81/12.501666666666667*Inputs!B5</x:f>
        <x:v>11.808425543260899</x:v>
      </x:c>
      <x:c r="C15" s="20" t="n">
        <x:v>0.9</x:v>
      </x:c>
      <x:c r="D15" s="20" t="n">
        <x:f>C15*Inputs!B7</x:f>
        <x:v>18</x:v>
      </x:c>
      <x:c r="E15" s="20" t="n">
        <x:f>Inputs!B11*Inputs!B12</x:f>
        <x:v>38</x:v>
      </x:c>
      <x:c r="F15" s="20" t="n">
        <x:f>D15+E15-B15</x:f>
        <x:v>44.191574456739104</x:v>
      </x:c>
      <x:c r="G15" s="20" t="n">
        <x:f>MAX(0,MIN(Inputs!B9,G14+H14))</x:f>
        <x:v>118.5</x:v>
      </x:c>
      <x:c r="H15" s="20" t="n">
        <x:f>IF(F15&gt;=0,MIN(F15,Inputs!B9-G15),-MIN(-F15,MAX(0,G15-Inputs!B9*(1-Inputs!B10))))</x:f>
        <x:v>0</x:v>
      </x:c>
      <x:c r="I15" s="20" t="n">
        <x:f>MAX(0,F15-MAX(0,H15))</x:f>
        <x:v>44.191574456739104</x:v>
      </x:c>
      <x:c r="J15" s="20" t="n">
        <x:f>MIN(I15*Inputs!B16,MAX(0,'Thermal Bank'!B11-K15))</x:f>
        <x:v>0</x:v>
      </x:c>
      <x:c r="K15" s="20" t="n">
        <x:f>MAX(0,MIN('Thermal Bank'!B11,K14+J14))</x:f>
        <x:v>50.555555555555564</x:v>
      </x:c>
      <x:c r="L15" s="20" t="n">
        <x:f>MAX(0,I15-J15/Inputs!B16)</x:f>
        <x:v>44.191574456739104</x:v>
      </x:c>
      <x:c r="M15" s="20" t="n">
        <x:f>MAX(0,-F15-MAX(0,-H15))</x:f>
        <x:v>0</x:v>
      </x:c>
      <x:c r="N15" s="2" t="str">
        <x:f>IF(M15&gt;0,"UNSERVED",IF(F15&lt;0,"BATTERY",IF(J15&gt;0,"THERMAL BANK",IF(H15&gt;0,"BATTERY CHARGE","CURTAIL"))))</x:f>
        <x:v>CURTAIL</x:v>
      </x:c>
      <x:c r="O15" s="2"/>
      <x:c r="P15" s="2"/>
      <x:c r="Q15" s="2"/>
    </x:row>
    <x:row r="16">
      <x:c r="A16" s="2" t="n">
        <x:v>12</x:v>
      </x:c>
      <x:c r="B16" s="20" t="n">
        <x:f>12.21/12.501666666666667*Inputs!B5</x:f>
        <x:v>12.208372217037729</x:v>
      </x:c>
      <x:c r="C16" s="20" t="n">
        <x:v>1</x:v>
      </x:c>
      <x:c r="D16" s="20" t="n">
        <x:f>C16*Inputs!B7</x:f>
        <x:v>20</x:v>
      </x:c>
      <x:c r="E16" s="20" t="n">
        <x:f>Inputs!B11*Inputs!B12</x:f>
        <x:v>38</x:v>
      </x:c>
      <x:c r="F16" s="20" t="n">
        <x:f>D16+E16-B16</x:f>
        <x:v>45.79162778296227</x:v>
      </x:c>
      <x:c r="G16" s="20" t="n">
        <x:f>MAX(0,MIN(Inputs!B9,G15+H15))</x:f>
        <x:v>118.5</x:v>
      </x:c>
      <x:c r="H16" s="20" t="n">
        <x:f>IF(F16&gt;=0,MIN(F16,Inputs!B9-G16),-MIN(-F16,MAX(0,G16-Inputs!B9*(1-Inputs!B10))))</x:f>
        <x:v>0</x:v>
      </x:c>
      <x:c r="I16" s="20" t="n">
        <x:f>MAX(0,F16-MAX(0,H16))</x:f>
        <x:v>45.79162778296227</x:v>
      </x:c>
      <x:c r="J16" s="20" t="n">
        <x:f>MIN(I16*Inputs!B16,MAX(0,'Thermal Bank'!B11-K16))</x:f>
        <x:v>0</x:v>
      </x:c>
      <x:c r="K16" s="20" t="n">
        <x:f>MAX(0,MIN('Thermal Bank'!B11,K15+J15))</x:f>
        <x:v>50.555555555555564</x:v>
      </x:c>
      <x:c r="L16" s="20" t="n">
        <x:f>MAX(0,I16-J16/Inputs!B16)</x:f>
        <x:v>45.79162778296227</x:v>
      </x:c>
      <x:c r="M16" s="20" t="n">
        <x:f>MAX(0,-F16-MAX(0,-H16))</x:f>
        <x:v>0</x:v>
      </x:c>
      <x:c r="N16" s="2" t="str">
        <x:f>IF(M16&gt;0,"UNSERVED",IF(F16&lt;0,"BATTERY",IF(J16&gt;0,"THERMAL BANK",IF(H16&gt;0,"BATTERY CHARGE","CURTAIL"))))</x:f>
        <x:v>CURTAIL</x:v>
      </x:c>
      <x:c r="O16" s="2"/>
      <x:c r="P16" s="2"/>
      <x:c r="Q16" s="2"/>
    </x:row>
    <x:row r="17">
      <x:c r="A17" s="2" t="n">
        <x:v>13</x:v>
      </x:c>
      <x:c r="B17" s="20" t="n">
        <x:f>12.81/12.501666666666667*Inputs!B5</x:f>
        <x:v>12.808292227702973</x:v>
      </x:c>
      <x:c r="C17" s="20" t="n">
        <x:v>1</x:v>
      </x:c>
      <x:c r="D17" s="20" t="n">
        <x:f>C17*Inputs!B7</x:f>
        <x:v>20</x:v>
      </x:c>
      <x:c r="E17" s="20" t="n">
        <x:f>Inputs!B11*Inputs!B12</x:f>
        <x:v>38</x:v>
      </x:c>
      <x:c r="F17" s="20" t="n">
        <x:f>D17+E17-B17</x:f>
        <x:v>45.19170777229703</x:v>
      </x:c>
      <x:c r="G17" s="20" t="n">
        <x:f>MAX(0,MIN(Inputs!B9,G16+H16))</x:f>
        <x:v>118.5</x:v>
      </x:c>
      <x:c r="H17" s="20" t="n">
        <x:f>IF(F17&gt;=0,MIN(F17,Inputs!B9-G17),-MIN(-F17,MAX(0,G17-Inputs!B9*(1-Inputs!B10))))</x:f>
        <x:v>0</x:v>
      </x:c>
      <x:c r="I17" s="20" t="n">
        <x:f>MAX(0,F17-MAX(0,H17))</x:f>
        <x:v>45.19170777229703</x:v>
      </x:c>
      <x:c r="J17" s="20" t="n">
        <x:f>MIN(I17*Inputs!B16,MAX(0,'Thermal Bank'!B11-K17))</x:f>
        <x:v>0</x:v>
      </x:c>
      <x:c r="K17" s="20" t="n">
        <x:f>MAX(0,MIN('Thermal Bank'!B11,K16+J16))</x:f>
        <x:v>50.555555555555564</x:v>
      </x:c>
      <x:c r="L17" s="20" t="n">
        <x:f>MAX(0,I17-J17/Inputs!B16)</x:f>
        <x:v>45.19170777229703</x:v>
      </x:c>
      <x:c r="M17" s="20" t="n">
        <x:f>MAX(0,-F17-MAX(0,-H17))</x:f>
        <x:v>0</x:v>
      </x:c>
      <x:c r="N17" s="2" t="str">
        <x:f>IF(M17&gt;0,"UNSERVED",IF(F17&lt;0,"BATTERY",IF(J17&gt;0,"THERMAL BANK",IF(H17&gt;0,"BATTERY CHARGE","CURTAIL"))))</x:f>
        <x:v>CURTAIL</x:v>
      </x:c>
      <x:c r="O17" s="2"/>
      <x:c r="P17" s="2"/>
      <x:c r="Q17" s="2"/>
    </x:row>
    <x:row r="18">
      <x:c r="A18" s="2" t="n">
        <x:v>14</x:v>
      </x:c>
      <x:c r="B18" s="20" t="n">
        <x:f>13.51/12.501666666666667*Inputs!B5</x:f>
        <x:v>13.508198906812424</x:v>
      </x:c>
      <x:c r="C18" s="20" t="n">
        <x:v>0.95</x:v>
      </x:c>
      <x:c r="D18" s="20" t="n">
        <x:f>C18*Inputs!B7</x:f>
        <x:v>19</x:v>
      </x:c>
      <x:c r="E18" s="20" t="n">
        <x:f>Inputs!B11*Inputs!B12</x:f>
        <x:v>38</x:v>
      </x:c>
      <x:c r="F18" s="20" t="n">
        <x:f>D18+E18-B18</x:f>
        <x:v>43.491801093187576</x:v>
      </x:c>
      <x:c r="G18" s="20" t="n">
        <x:f>MAX(0,MIN(Inputs!B9,G17+H17))</x:f>
        <x:v>118.5</x:v>
      </x:c>
      <x:c r="H18" s="20" t="n">
        <x:f>IF(F18&gt;=0,MIN(F18,Inputs!B9-G18),-MIN(-F18,MAX(0,G18-Inputs!B9*(1-Inputs!B10))))</x:f>
        <x:v>0</x:v>
      </x:c>
      <x:c r="I18" s="20" t="n">
        <x:f>MAX(0,F18-MAX(0,H18))</x:f>
        <x:v>43.491801093187576</x:v>
      </x:c>
      <x:c r="J18" s="20" t="n">
        <x:f>MIN(I18*Inputs!B16,MAX(0,'Thermal Bank'!B11-K18))</x:f>
        <x:v>0</x:v>
      </x:c>
      <x:c r="K18" s="20" t="n">
        <x:f>MAX(0,MIN('Thermal Bank'!B11,K17+J17))</x:f>
        <x:v>50.555555555555564</x:v>
      </x:c>
      <x:c r="L18" s="20" t="n">
        <x:f>MAX(0,I18-J18/Inputs!B16)</x:f>
        <x:v>43.491801093187576</x:v>
      </x:c>
      <x:c r="M18" s="20" t="n">
        <x:f>MAX(0,-F18-MAX(0,-H18))</x:f>
        <x:v>0</x:v>
      </x:c>
      <x:c r="N18" s="2" t="str">
        <x:f>IF(M18&gt;0,"UNSERVED",IF(F18&lt;0,"BATTERY",IF(J18&gt;0,"THERMAL BANK",IF(H18&gt;0,"BATTERY CHARGE","CURTAIL"))))</x:f>
        <x:v>CURTAIL</x:v>
      </x:c>
      <x:c r="O18" s="2"/>
      <x:c r="P18" s="2"/>
      <x:c r="Q18" s="2"/>
    </x:row>
    <x:row r="19">
      <x:c r="A19" s="2" t="n">
        <x:v>15</x:v>
      </x:c>
      <x:c r="B19" s="20" t="n">
        <x:f>15.51/12.501666666666667*Inputs!B5</x:f>
        <x:v>15.507932275696573</x:v>
      </x:c>
      <x:c r="C19" s="20" t="n">
        <x:v>0.9</x:v>
      </x:c>
      <x:c r="D19" s="20" t="n">
        <x:f>C19*Inputs!B7</x:f>
        <x:v>18</x:v>
      </x:c>
      <x:c r="E19" s="20" t="n">
        <x:f>Inputs!B11*Inputs!B12</x:f>
        <x:v>38</x:v>
      </x:c>
      <x:c r="F19" s="20" t="n">
        <x:f>D19+E19-B19</x:f>
        <x:v>40.492067724303425</x:v>
      </x:c>
      <x:c r="G19" s="20" t="n">
        <x:f>MAX(0,MIN(Inputs!B9,G18+H18))</x:f>
        <x:v>118.5</x:v>
      </x:c>
      <x:c r="H19" s="20" t="n">
        <x:f>IF(F19&gt;=0,MIN(F19,Inputs!B9-G19),-MIN(-F19,MAX(0,G19-Inputs!B9*(1-Inputs!B10))))</x:f>
        <x:v>0</x:v>
      </x:c>
      <x:c r="I19" s="20" t="n">
        <x:f>MAX(0,F19-MAX(0,H19))</x:f>
        <x:v>40.492067724303425</x:v>
      </x:c>
      <x:c r="J19" s="20" t="n">
        <x:f>MIN(I19*Inputs!B16,MAX(0,'Thermal Bank'!B11-K19))</x:f>
        <x:v>0</x:v>
      </x:c>
      <x:c r="K19" s="20" t="n">
        <x:f>MAX(0,MIN('Thermal Bank'!B11,K18+J18))</x:f>
        <x:v>50.555555555555564</x:v>
      </x:c>
      <x:c r="L19" s="20" t="n">
        <x:f>MAX(0,I19-J19/Inputs!B16)</x:f>
        <x:v>40.492067724303425</x:v>
      </x:c>
      <x:c r="M19" s="20" t="n">
        <x:f>MAX(0,-F19-MAX(0,-H19))</x:f>
        <x:v>0</x:v>
      </x:c>
      <x:c r="N19" s="2" t="str">
        <x:f>IF(M19&gt;0,"UNSERVED",IF(F19&lt;0,"BATTERY",IF(J19&gt;0,"THERMAL BANK",IF(H19&gt;0,"BATTERY CHARGE","CURTAIL"))))</x:f>
        <x:v>CURTAIL</x:v>
      </x:c>
      <x:c r="O19" s="2"/>
      <x:c r="P19" s="2"/>
      <x:c r="Q19" s="2"/>
    </x:row>
    <x:row r="20">
      <x:c r="A20" s="2" t="n">
        <x:v>16</x:v>
      </x:c>
      <x:c r="B20" s="20" t="n">
        <x:f>18.01/12.501666666666667*Inputs!B5</x:f>
        <x:v>18.007598986801764</x:v>
      </x:c>
      <x:c r="C20" s="20" t="n">
        <x:v>0.85</x:v>
      </x:c>
      <x:c r="D20" s="20" t="n">
        <x:f>C20*Inputs!B7</x:f>
        <x:v>17</x:v>
      </x:c>
      <x:c r="E20" s="20" t="n">
        <x:f>Inputs!B11*Inputs!B12</x:f>
        <x:v>38</x:v>
      </x:c>
      <x:c r="F20" s="20" t="n">
        <x:f>D20+E20-B20</x:f>
        <x:v>36.99240101319823</x:v>
      </x:c>
      <x:c r="G20" s="20" t="n">
        <x:f>MAX(0,MIN(Inputs!B9,G19+H19))</x:f>
        <x:v>118.5</x:v>
      </x:c>
      <x:c r="H20" s="20" t="n">
        <x:f>IF(F20&gt;=0,MIN(F20,Inputs!B9-G20),-MIN(-F20,MAX(0,G20-Inputs!B9*(1-Inputs!B10))))</x:f>
        <x:v>0</x:v>
      </x:c>
      <x:c r="I20" s="20" t="n">
        <x:f>MAX(0,F20-MAX(0,H20))</x:f>
        <x:v>36.99240101319823</x:v>
      </x:c>
      <x:c r="J20" s="20" t="n">
        <x:f>MIN(I20*Inputs!B16,MAX(0,'Thermal Bank'!B11-K20))</x:f>
        <x:v>0</x:v>
      </x:c>
      <x:c r="K20" s="20" t="n">
        <x:f>MAX(0,MIN('Thermal Bank'!B11,K19+J19))</x:f>
        <x:v>50.555555555555564</x:v>
      </x:c>
      <x:c r="L20" s="20" t="n">
        <x:f>MAX(0,I20-J20/Inputs!B16)</x:f>
        <x:v>36.99240101319823</x:v>
      </x:c>
      <x:c r="M20" s="20" t="n">
        <x:f>MAX(0,-F20-MAX(0,-H20))</x:f>
        <x:v>0</x:v>
      </x:c>
      <x:c r="N20" s="2" t="str">
        <x:f>IF(M20&gt;0,"UNSERVED",IF(F20&lt;0,"BATTERY",IF(J20&gt;0,"THERMAL BANK",IF(H20&gt;0,"BATTERY CHARGE","CURTAIL"))))</x:f>
        <x:v>CURTAIL</x:v>
      </x:c>
      <x:c r="O20" s="2"/>
      <x:c r="P20" s="2"/>
      <x:c r="Q20" s="2"/>
    </x:row>
    <x:row r="21">
      <x:c r="A21" s="2" t="n">
        <x:v>17</x:v>
      </x:c>
      <x:c r="B21" s="20" t="n">
        <x:f>20.01/12.501666666666667*Inputs!B5</x:f>
        <x:v>20.007332355685907</x:v>
      </x:c>
      <x:c r="C21" s="20" t="n">
        <x:v>0.8</x:v>
      </x:c>
      <x:c r="D21" s="20" t="n">
        <x:f>C21*Inputs!B7</x:f>
        <x:v>16</x:v>
      </x:c>
      <x:c r="E21" s="20" t="n">
        <x:f>Inputs!B11*Inputs!B12</x:f>
        <x:v>38</x:v>
      </x:c>
      <x:c r="F21" s="20" t="n">
        <x:f>D21+E21-B21</x:f>
        <x:v>33.992667644314096</x:v>
      </x:c>
      <x:c r="G21" s="20" t="n">
        <x:f>MAX(0,MIN(Inputs!B9,G20+H20))</x:f>
        <x:v>118.5</x:v>
      </x:c>
      <x:c r="H21" s="20" t="n">
        <x:f>IF(F21&gt;=0,MIN(F21,Inputs!B9-G21),-MIN(-F21,MAX(0,G21-Inputs!B9*(1-Inputs!B10))))</x:f>
        <x:v>0</x:v>
      </x:c>
      <x:c r="I21" s="20" t="n">
        <x:f>MAX(0,F21-MAX(0,H21))</x:f>
        <x:v>33.992667644314096</x:v>
      </x:c>
      <x:c r="J21" s="20" t="n">
        <x:f>MIN(I21*Inputs!B16,MAX(0,'Thermal Bank'!B11-K21))</x:f>
        <x:v>0</x:v>
      </x:c>
      <x:c r="K21" s="20" t="n">
        <x:f>MAX(0,MIN('Thermal Bank'!B11,K20+J20))</x:f>
        <x:v>50.555555555555564</x:v>
      </x:c>
      <x:c r="L21" s="20" t="n">
        <x:f>MAX(0,I21-J21/Inputs!B16)</x:f>
        <x:v>33.992667644314096</x:v>
      </x:c>
      <x:c r="M21" s="20" t="n">
        <x:f>MAX(0,-F21-MAX(0,-H21))</x:f>
        <x:v>0</x:v>
      </x:c>
      <x:c r="N21" s="2" t="str">
        <x:f>IF(M21&gt;0,"UNSERVED",IF(F21&lt;0,"BATTERY",IF(J21&gt;0,"THERMAL BANK",IF(H21&gt;0,"BATTERY CHARGE","CURTAIL"))))</x:f>
        <x:v>CURTAIL</x:v>
      </x:c>
      <x:c r="O21" s="2"/>
      <x:c r="P21" s="2"/>
      <x:c r="Q21" s="2"/>
    </x:row>
    <x:row r="22">
      <x:c r="A22" s="2" t="n">
        <x:v>18</x:v>
      </x:c>
      <x:c r="B22" s="20" t="n">
        <x:f>16.51/12.501666666666667*Inputs!B5</x:f>
        <x:v>16.50779896013865</x:v>
      </x:c>
      <x:c r="C22" s="20" t="n">
        <x:v>0.75</x:v>
      </x:c>
      <x:c r="D22" s="20" t="n">
        <x:f>C22*Inputs!B7</x:f>
        <x:v>15</x:v>
      </x:c>
      <x:c r="E22" s="20" t="n">
        <x:f>Inputs!B11*Inputs!B12</x:f>
        <x:v>38</x:v>
      </x:c>
      <x:c r="F22" s="20" t="n">
        <x:f>D22+E22-B22</x:f>
        <x:v>36.49220103986135</x:v>
      </x:c>
      <x:c r="G22" s="20" t="n">
        <x:f>MAX(0,MIN(Inputs!B9,G21+H21))</x:f>
        <x:v>118.5</x:v>
      </x:c>
      <x:c r="H22" s="20" t="n">
        <x:f>IF(F22&gt;=0,MIN(F22,Inputs!B9-G22),-MIN(-F22,MAX(0,G22-Inputs!B9*(1-Inputs!B10))))</x:f>
        <x:v>0</x:v>
      </x:c>
      <x:c r="I22" s="20" t="n">
        <x:f>MAX(0,F22-MAX(0,H22))</x:f>
        <x:v>36.49220103986135</x:v>
      </x:c>
      <x:c r="J22" s="20" t="n">
        <x:f>MIN(I22*Inputs!B16,MAX(0,'Thermal Bank'!B11-K22))</x:f>
        <x:v>0</x:v>
      </x:c>
      <x:c r="K22" s="20" t="n">
        <x:f>MAX(0,MIN('Thermal Bank'!B11,K21+J21))</x:f>
        <x:v>50.555555555555564</x:v>
      </x:c>
      <x:c r="L22" s="20" t="n">
        <x:f>MAX(0,I22-J22/Inputs!B16)</x:f>
        <x:v>36.49220103986135</x:v>
      </x:c>
      <x:c r="M22" s="20" t="n">
        <x:f>MAX(0,-F22-MAX(0,-H22))</x:f>
        <x:v>0</x:v>
      </x:c>
      <x:c r="N22" s="2" t="str">
        <x:f>IF(M22&gt;0,"UNSERVED",IF(F22&lt;0,"BATTERY",IF(J22&gt;0,"THERMAL BANK",IF(H22&gt;0,"BATTERY CHARGE","CURTAIL"))))</x:f>
        <x:v>CURTAIL</x:v>
      </x:c>
      <x:c r="O22" s="2"/>
      <x:c r="P22" s="2"/>
      <x:c r="Q22" s="2"/>
    </x:row>
    <x:row r="23">
      <x:c r="A23" s="2" t="n">
        <x:v>19</x:v>
      </x:c>
      <x:c r="B23" s="20" t="n">
        <x:f>14.01/12.501666666666667*Inputs!B5</x:f>
        <x:v>14.008132249033462</x:v>
      </x:c>
      <x:c r="C23" s="20" t="n">
        <x:v>0.75</x:v>
      </x:c>
      <x:c r="D23" s="20" t="n">
        <x:f>C23*Inputs!B7</x:f>
        <x:v>15</x:v>
      </x:c>
      <x:c r="E23" s="20" t="n">
        <x:f>Inputs!B11*Inputs!B12</x:f>
        <x:v>38</x:v>
      </x:c>
      <x:c r="F23" s="20" t="n">
        <x:f>D23+E23-B23</x:f>
        <x:v>38.991867750966534</x:v>
      </x:c>
      <x:c r="G23" s="20" t="n">
        <x:f>MAX(0,MIN(Inputs!B9,G22+H22))</x:f>
        <x:v>118.5</x:v>
      </x:c>
      <x:c r="H23" s="20" t="n">
        <x:f>IF(F23&gt;=0,MIN(F23,Inputs!B9-G23),-MIN(-F23,MAX(0,G23-Inputs!B9*(1-Inputs!B10))))</x:f>
        <x:v>0</x:v>
      </x:c>
      <x:c r="I23" s="20" t="n">
        <x:f>MAX(0,F23-MAX(0,H23))</x:f>
        <x:v>38.991867750966534</x:v>
      </x:c>
      <x:c r="J23" s="20" t="n">
        <x:f>MIN(I23*Inputs!B16,MAX(0,'Thermal Bank'!B11-K23))</x:f>
        <x:v>0</x:v>
      </x:c>
      <x:c r="K23" s="20" t="n">
        <x:f>MAX(0,MIN('Thermal Bank'!B11,K22+J22))</x:f>
        <x:v>50.555555555555564</x:v>
      </x:c>
      <x:c r="L23" s="20" t="n">
        <x:f>MAX(0,I23-J23/Inputs!B16)</x:f>
        <x:v>38.991867750966534</x:v>
      </x:c>
      <x:c r="M23" s="20" t="n">
        <x:f>MAX(0,-F23-MAX(0,-H23))</x:f>
        <x:v>0</x:v>
      </x:c>
      <x:c r="N23" s="2" t="str">
        <x:f>IF(M23&gt;0,"UNSERVED",IF(F23&lt;0,"BATTERY",IF(J23&gt;0,"THERMAL BANK",IF(H23&gt;0,"BATTERY CHARGE","CURTAIL"))))</x:f>
        <x:v>CURTAIL</x:v>
      </x:c>
      <x:c r="O23" s="2"/>
      <x:c r="P23" s="2"/>
      <x:c r="Q23" s="2"/>
    </x:row>
    <x:row r="24">
      <x:c r="A24" s="2" t="n">
        <x:v>20</x:v>
      </x:c>
      <x:c r="B24" s="20" t="n">
        <x:f>12.01/12.501666666666667*Inputs!B5</x:f>
        <x:v>12.008398880149313</x:v>
      </x:c>
      <x:c r="C24" s="20" t="n">
        <x:v>0.75</x:v>
      </x:c>
      <x:c r="D24" s="20" t="n">
        <x:f>C24*Inputs!B7</x:f>
        <x:v>15</x:v>
      </x:c>
      <x:c r="E24" s="20" t="n">
        <x:f>Inputs!B11*Inputs!B12</x:f>
        <x:v>38</x:v>
      </x:c>
      <x:c r="F24" s="20" t="n">
        <x:f>D24+E24-B24</x:f>
        <x:v>40.991601119850685</x:v>
      </x:c>
      <x:c r="G24" s="20" t="n">
        <x:f>MAX(0,MIN(Inputs!B9,G23+H23))</x:f>
        <x:v>118.5</x:v>
      </x:c>
      <x:c r="H24" s="20" t="n">
        <x:f>IF(F24&gt;=0,MIN(F24,Inputs!B9-G24),-MIN(-F24,MAX(0,G24-Inputs!B9*(1-Inputs!B10))))</x:f>
        <x:v>0</x:v>
      </x:c>
      <x:c r="I24" s="20" t="n">
        <x:f>MAX(0,F24-MAX(0,H24))</x:f>
        <x:v>40.991601119850685</x:v>
      </x:c>
      <x:c r="J24" s="20" t="n">
        <x:f>MIN(I24*Inputs!B16,MAX(0,'Thermal Bank'!B11-K24))</x:f>
        <x:v>0</x:v>
      </x:c>
      <x:c r="K24" s="20" t="n">
        <x:f>MAX(0,MIN('Thermal Bank'!B11,K23+J23))</x:f>
        <x:v>50.555555555555564</x:v>
      </x:c>
      <x:c r="L24" s="20" t="n">
        <x:f>MAX(0,I24-J24/Inputs!B16)</x:f>
        <x:v>40.991601119850685</x:v>
      </x:c>
      <x:c r="M24" s="20" t="n">
        <x:f>MAX(0,-F24-MAX(0,-H24))</x:f>
        <x:v>0</x:v>
      </x:c>
      <x:c r="N24" s="2" t="str">
        <x:f>IF(M24&gt;0,"UNSERVED",IF(F24&lt;0,"BATTERY",IF(J24&gt;0,"THERMAL BANK",IF(H24&gt;0,"BATTERY CHARGE","CURTAIL"))))</x:f>
        <x:v>CURTAIL</x:v>
      </x:c>
      <x:c r="O24" s="2"/>
      <x:c r="P24" s="2"/>
      <x:c r="Q24" s="2"/>
    </x:row>
    <x:row r="25">
      <x:c r="A25" s="2" t="n">
        <x:v>21</x:v>
      </x:c>
      <x:c r="B25" s="20" t="n">
        <x:f>11.01/12.501666666666667*Inputs!B5</x:f>
        <x:v>11.008532195707238</x:v>
      </x:c>
      <x:c r="C25" s="20" t="n">
        <x:v>0.75</x:v>
      </x:c>
      <x:c r="D25" s="20" t="n">
        <x:f>C25*Inputs!B7</x:f>
        <x:v>15</x:v>
      </x:c>
      <x:c r="E25" s="20" t="n">
        <x:f>Inputs!B11*Inputs!B12</x:f>
        <x:v>38</x:v>
      </x:c>
      <x:c r="F25" s="20" t="n">
        <x:f>D25+E25-B25</x:f>
        <x:v>41.99146780429276</x:v>
      </x:c>
      <x:c r="G25" s="20" t="n">
        <x:f>MAX(0,MIN(Inputs!B9,G24+H24))</x:f>
        <x:v>118.5</x:v>
      </x:c>
      <x:c r="H25" s="20" t="n">
        <x:f>IF(F25&gt;=0,MIN(F25,Inputs!B9-G25),-MIN(-F25,MAX(0,G25-Inputs!B9*(1-Inputs!B10))))</x:f>
        <x:v>0</x:v>
      </x:c>
      <x:c r="I25" s="20" t="n">
        <x:f>MAX(0,F25-MAX(0,H25))</x:f>
        <x:v>41.99146780429276</x:v>
      </x:c>
      <x:c r="J25" s="20" t="n">
        <x:f>MIN(I25*Inputs!B16,MAX(0,'Thermal Bank'!B11-K25))</x:f>
        <x:v>0</x:v>
      </x:c>
      <x:c r="K25" s="20" t="n">
        <x:f>MAX(0,MIN('Thermal Bank'!B11,K24+J24))</x:f>
        <x:v>50.555555555555564</x:v>
      </x:c>
      <x:c r="L25" s="20" t="n">
        <x:f>MAX(0,I25-J25/Inputs!B16)</x:f>
        <x:v>41.99146780429276</x:v>
      </x:c>
      <x:c r="M25" s="20" t="n">
        <x:f>MAX(0,-F25-MAX(0,-H25))</x:f>
        <x:v>0</x:v>
      </x:c>
      <x:c r="N25" s="2" t="str">
        <x:f>IF(M25&gt;0,"UNSERVED",IF(F25&lt;0,"BATTERY",IF(J25&gt;0,"THERMAL BANK",IF(H25&gt;0,"BATTERY CHARGE","CURTAIL"))))</x:f>
        <x:v>CURTAIL</x:v>
      </x:c>
      <x:c r="O25" s="2"/>
      <x:c r="P25" s="2"/>
      <x:c r="Q25" s="2"/>
    </x:row>
    <x:row r="26">
      <x:c r="A26" s="2" t="n">
        <x:v>22</x:v>
      </x:c>
      <x:c r="B26" s="20" t="n">
        <x:f>10.21/12.501666666666667*Inputs!B5</x:f>
        <x:v>10.20863884815358</x:v>
      </x:c>
      <x:c r="C26" s="20" t="n">
        <x:v>0.7</x:v>
      </x:c>
      <x:c r="D26" s="20" t="n">
        <x:f>C26*Inputs!B7</x:f>
        <x:v>14</x:v>
      </x:c>
      <x:c r="E26" s="20" t="n">
        <x:f>Inputs!B11*Inputs!B12</x:f>
        <x:v>38</x:v>
      </x:c>
      <x:c r="F26" s="20" t="n">
        <x:f>D26+E26-B26</x:f>
        <x:v>41.79136115184642</x:v>
      </x:c>
      <x:c r="G26" s="20" t="n">
        <x:f>MAX(0,MIN(Inputs!B9,G25+H25))</x:f>
        <x:v>118.5</x:v>
      </x:c>
      <x:c r="H26" s="20" t="n">
        <x:f>IF(F26&gt;=0,MIN(F26,Inputs!B9-G26),-MIN(-F26,MAX(0,G26-Inputs!B9*(1-Inputs!B10))))</x:f>
        <x:v>0</x:v>
      </x:c>
      <x:c r="I26" s="20" t="n">
        <x:f>MAX(0,F26-MAX(0,H26))</x:f>
        <x:v>41.79136115184642</x:v>
      </x:c>
      <x:c r="J26" s="20" t="n">
        <x:f>MIN(I26*Inputs!B16,MAX(0,'Thermal Bank'!B11-K26))</x:f>
        <x:v>0</x:v>
      </x:c>
      <x:c r="K26" s="20" t="n">
        <x:f>MAX(0,MIN('Thermal Bank'!B11,K25+J25))</x:f>
        <x:v>50.555555555555564</x:v>
      </x:c>
      <x:c r="L26" s="20" t="n">
        <x:f>MAX(0,I26-J26/Inputs!B16)</x:f>
        <x:v>41.79136115184642</x:v>
      </x:c>
      <x:c r="M26" s="20" t="n">
        <x:f>MAX(0,-F26-MAX(0,-H26))</x:f>
        <x:v>0</x:v>
      </x:c>
      <x:c r="N26" s="2" t="str">
        <x:f>IF(M26&gt;0,"UNSERVED",IF(F26&lt;0,"BATTERY",IF(J26&gt;0,"THERMAL BANK",IF(H26&gt;0,"BATTERY CHARGE","CURTAIL"))))</x:f>
        <x:v>CURTAIL</x:v>
      </x:c>
      <x:c r="O26" s="2"/>
      <x:c r="P26" s="2"/>
      <x:c r="Q26" s="2"/>
    </x:row>
    <x:row r="27">
      <x:c r="A27" s="2" t="n">
        <x:v>23</x:v>
      </x:c>
      <x:c r="B27" s="20" t="n">
        <x:f>9.81/12.501666666666667*Inputs!B5</x:f>
        <x:v>9.80869217437675</x:v>
      </x:c>
      <x:c r="C27" s="20" t="n">
        <x:v>0.7</x:v>
      </x:c>
      <x:c r="D27" s="20" t="n">
        <x:f>C27*Inputs!B7</x:f>
        <x:v>14</x:v>
      </x:c>
      <x:c r="E27" s="20" t="n">
        <x:f>Inputs!B11*Inputs!B12</x:f>
        <x:v>38</x:v>
      </x:c>
      <x:c r="F27" s="20" t="n">
        <x:f>D27+E27-B27</x:f>
        <x:v>42.19130782562325</x:v>
      </x:c>
      <x:c r="G27" s="20" t="n">
        <x:f>MAX(0,MIN(Inputs!B9,G26+H26))</x:f>
        <x:v>118.5</x:v>
      </x:c>
      <x:c r="H27" s="20" t="n">
        <x:f>IF(F27&gt;=0,MIN(F27,Inputs!B9-G27),-MIN(-F27,MAX(0,G27-Inputs!B9*(1-Inputs!B10))))</x:f>
        <x:v>0</x:v>
      </x:c>
      <x:c r="I27" s="20" t="n">
        <x:f>MAX(0,F27-MAX(0,H27))</x:f>
        <x:v>42.19130782562325</x:v>
      </x:c>
      <x:c r="J27" s="20" t="n">
        <x:f>MIN(I27*Inputs!B16,MAX(0,'Thermal Bank'!B11-K27))</x:f>
        <x:v>0</x:v>
      </x:c>
      <x:c r="K27" s="20" t="n">
        <x:f>MAX(0,MIN('Thermal Bank'!B11,K26+J26))</x:f>
        <x:v>50.555555555555564</x:v>
      </x:c>
      <x:c r="L27" s="20" t="n">
        <x:f>MAX(0,I27-J27/Inputs!B16)</x:f>
        <x:v>42.19130782562325</x:v>
      </x:c>
      <x:c r="M27" s="20" t="n">
        <x:f>MAX(0,-F27-MAX(0,-H27))</x:f>
        <x:v>0</x:v>
      </x:c>
      <x:c r="N27" s="2" t="str">
        <x:f>IF(M27&gt;0,"UNSERVED",IF(F27&lt;0,"BATTERY",IF(J27&gt;0,"THERMAL BANK",IF(H27&gt;0,"BATTERY CHARGE","CURTAIL"))))</x:f>
        <x:v>CURTAIL</x:v>
      </x:c>
      <x:c r="O27" s="2"/>
      <x:c r="P27" s="2"/>
      <x:c r="Q27" s="2"/>
    </x:row>
    <x:row r="28">
      <x:c r="A28" s="2"/>
      <x:c r="B28" s="2"/>
      <x:c r="C28" s="2"/>
      <x:c r="D28" s="2"/>
      <x:c r="E28" s="2"/>
      <x:c r="F28" s="2"/>
      <x:c r="G28" s="2"/>
      <x:c r="H28" s="2"/>
      <x:c r="I28" s="2"/>
      <x:c r="J28" s="2"/>
      <x:c r="K28" s="2"/>
      <x:c r="L28" s="2"/>
      <x:c r="M28" s="2"/>
      <x:c r="N28" s="2"/>
      <x:c r="O28" s="2"/>
      <x:c r="P28" s="2"/>
      <x:c r="Q28" s="2"/>
    </x:row>
    <x:row r="29">
      <x:c r="A29" s="2"/>
      <x:c r="B29" s="2"/>
      <x:c r="C29" s="2"/>
      <x:c r="D29" s="2"/>
      <x:c r="E29" s="2"/>
      <x:c r="F29" s="2"/>
      <x:c r="G29" s="2"/>
      <x:c r="H29" s="2"/>
      <x:c r="I29" s="2"/>
      <x:c r="J29" s="2"/>
      <x:c r="K29" s="2"/>
      <x:c r="L29" s="2"/>
      <x:c r="M29" s="2"/>
      <x:c r="N29" s="2"/>
      <x:c r="O29" s="2"/>
      <x:c r="P29" s="2"/>
      <x:c r="Q29" s="2"/>
    </x:row>
    <x:row r="30">
      <x:c r="A30" s="2"/>
      <x:c r="B30" s="2"/>
      <x:c r="C30" s="2"/>
      <x:c r="D30" s="2"/>
      <x:c r="E30" s="2"/>
      <x:c r="F30" s="2"/>
      <x:c r="G30" s="2"/>
      <x:c r="H30" s="2"/>
      <x:c r="I30" s="2"/>
      <x:c r="J30" s="2"/>
      <x:c r="K30" s="2"/>
      <x:c r="L30" s="2"/>
      <x:c r="M30" s="2"/>
      <x:c r="N30" s="2"/>
      <x:c r="O30" s="2"/>
      <x:c r="P30" s="2"/>
      <x:c r="Q30" s="2"/>
    </x:row>
    <x:row r="31">
      <x:c r="A31" s="2"/>
      <x:c r="B31" s="2"/>
      <x:c r="C31" s="2"/>
      <x:c r="D31" s="2"/>
      <x:c r="E31" s="2"/>
      <x:c r="F31" s="2"/>
      <x:c r="G31" s="2"/>
      <x:c r="H31" s="2"/>
      <x:c r="I31" s="2"/>
      <x:c r="J31" s="2"/>
      <x:c r="K31" s="2"/>
      <x:c r="L31" s="2"/>
      <x:c r="M31" s="2"/>
      <x:c r="N31" s="2"/>
      <x:c r="O31" s="2"/>
      <x:c r="P31" s="2"/>
      <x:c r="Q31" s="2"/>
    </x:row>
    <x:row r="32">
      <x:c r="A32" s="2"/>
      <x:c r="B32" s="2"/>
      <x:c r="C32" s="2"/>
      <x:c r="D32" s="2"/>
      <x:c r="E32" s="2"/>
      <x:c r="F32" s="2"/>
      <x:c r="G32" s="2"/>
      <x:c r="H32" s="2"/>
      <x:c r="I32" s="2"/>
      <x:c r="J32" s="2"/>
      <x:c r="K32" s="2"/>
      <x:c r="L32" s="2"/>
      <x:c r="M32" s="2"/>
      <x:c r="N32" s="2"/>
      <x:c r="O32" s="2"/>
      <x:c r="P32" s="2"/>
      <x:c r="Q32" s="2"/>
    </x:row>
    <x:row r="33">
      <x:c r="A33" s="2"/>
      <x:c r="B33" s="2"/>
      <x:c r="C33" s="2"/>
      <x:c r="D33" s="2"/>
      <x:c r="E33" s="2"/>
      <x:c r="F33" s="2"/>
      <x:c r="G33" s="2"/>
      <x:c r="H33" s="2"/>
      <x:c r="I33" s="2"/>
      <x:c r="J33" s="2"/>
      <x:c r="K33" s="2"/>
      <x:c r="L33" s="2"/>
      <x:c r="M33" s="2"/>
      <x:c r="N33" s="2"/>
      <x:c r="O33" s="2"/>
      <x:c r="P33" s="2"/>
      <x:c r="Q33" s="2"/>
    </x:row>
    <x:row r="34">
      <x:c r="A34" s="2"/>
      <x:c r="B34" s="2"/>
      <x:c r="C34" s="2"/>
      <x:c r="D34" s="2"/>
      <x:c r="E34" s="2"/>
      <x:c r="F34" s="2"/>
      <x:c r="G34" s="2"/>
      <x:c r="H34" s="2"/>
      <x:c r="I34" s="2"/>
      <x:c r="J34" s="2"/>
      <x:c r="K34" s="2"/>
      <x:c r="L34" s="2"/>
      <x:c r="M34" s="2"/>
      <x:c r="N34" s="2"/>
      <x:c r="O34" s="2"/>
      <x:c r="P34" s="2"/>
      <x:c r="Q34" s="2"/>
    </x:row>
    <x:row r="35">
      <x:c r="A35" s="2"/>
      <x:c r="B35" s="2"/>
      <x:c r="C35" s="2"/>
      <x:c r="D35" s="2"/>
      <x:c r="E35" s="2"/>
      <x:c r="F35" s="2"/>
      <x:c r="G35" s="2"/>
      <x:c r="H35" s="2"/>
      <x:c r="I35" s="2"/>
      <x:c r="J35" s="2"/>
      <x:c r="K35" s="2"/>
      <x:c r="L35" s="2"/>
      <x:c r="M35" s="2"/>
      <x:c r="N35" s="2"/>
      <x:c r="O35" s="2"/>
      <x:c r="P35" s="2"/>
      <x:c r="Q35" s="2"/>
    </x:row>
    <x:row r="36">
      <x:c r="A36" s="2"/>
      <x:c r="B36" s="2"/>
      <x:c r="C36" s="2"/>
      <x:c r="D36" s="2"/>
      <x:c r="E36" s="2"/>
      <x:c r="F36" s="2"/>
      <x:c r="G36" s="2"/>
      <x:c r="H36" s="2"/>
      <x:c r="I36" s="2"/>
      <x:c r="J36" s="2"/>
      <x:c r="K36" s="2"/>
      <x:c r="L36" s="2"/>
      <x:c r="M36" s="2"/>
      <x:c r="N36" s="2"/>
      <x:c r="O36" s="2"/>
      <x:c r="P36" s="2"/>
      <x:c r="Q36" s="2"/>
    </x:row>
    <x:row r="37">
      <x:c r="A37" s="2"/>
      <x:c r="B37" s="2"/>
      <x:c r="C37" s="2"/>
      <x:c r="D37" s="2"/>
      <x:c r="E37" s="2"/>
      <x:c r="F37" s="2"/>
      <x:c r="G37" s="2"/>
      <x:c r="H37" s="2"/>
      <x:c r="I37" s="2"/>
      <x:c r="J37" s="2"/>
      <x:c r="K37" s="2"/>
      <x:c r="L37" s="2"/>
      <x:c r="M37" s="2"/>
      <x:c r="N37" s="2"/>
      <x:c r="O37" s="2"/>
      <x:c r="P37" s="2"/>
      <x:c r="Q37" s="2"/>
    </x:row>
    <x:row r="38">
      <x:c r="A38" s="2"/>
      <x:c r="B38" s="2"/>
      <x:c r="C38" s="2"/>
      <x:c r="D38" s="2"/>
      <x:c r="E38" s="2"/>
      <x:c r="F38" s="2"/>
      <x:c r="G38" s="2"/>
      <x:c r="H38" s="2"/>
      <x:c r="I38" s="2"/>
      <x:c r="J38" s="2"/>
      <x:c r="K38" s="2"/>
      <x:c r="L38" s="2"/>
      <x:c r="M38" s="2"/>
      <x:c r="N38" s="2"/>
      <x:c r="O38" s="2"/>
      <x:c r="P38" s="2"/>
      <x:c r="Q38" s="2"/>
    </x:row>
    <x:row r="39">
      <x:c r="A39" s="2"/>
      <x:c r="B39" s="2"/>
      <x:c r="C39" s="2"/>
      <x:c r="D39" s="2"/>
      <x:c r="E39" s="2"/>
      <x:c r="F39" s="2"/>
      <x:c r="G39" s="2"/>
      <x:c r="H39" s="2"/>
      <x:c r="I39" s="2"/>
      <x:c r="J39" s="2"/>
      <x:c r="K39" s="2"/>
      <x:c r="L39" s="2"/>
      <x:c r="M39" s="2"/>
      <x:c r="N39" s="2"/>
      <x:c r="O39" s="2"/>
      <x:c r="P39" s="2"/>
      <x:c r="Q39" s="2"/>
    </x:row>
    <x:row r="40">
      <x:c r="A40" s="2"/>
      <x:c r="B40" s="2"/>
      <x:c r="C40" s="2"/>
      <x:c r="D40" s="2"/>
      <x:c r="E40" s="2"/>
      <x:c r="F40" s="2"/>
      <x:c r="G40" s="2"/>
      <x:c r="H40" s="2"/>
      <x:c r="I40" s="2"/>
      <x:c r="J40" s="2"/>
      <x:c r="K40" s="2"/>
      <x:c r="L40" s="2"/>
      <x:c r="M40" s="2"/>
      <x:c r="N40" s="2"/>
      <x:c r="O40" s="2"/>
      <x:c r="P40" s="2"/>
      <x:c r="Q40" s="2"/>
    </x:row>
  </x:sheetData>
  <x:mergeCells>
    <x:mergeCell ref="A1:N1"/>
  </x:mergeCells>
  <x:conditionalFormatting sqref="M4:M27">
    <x:cfRule type="expression" dxfId="1" priority="1">
      <x:formula>M4&gt;0</x:formula>
    </x:cfRule>
  </x:conditionalFormatting>
  <x:conditionalFormatting sqref="J4:J27">
    <x:cfRule type="expression" dxfId="2" priority="2">
      <x:formula>J4&gt;0</x:formula>
    </x:cfRule>
  </x:conditionalFormatting>
  <x:pageMargins left="0.7" right="0.7" top="0.75" bottom="0.75" header="0.3" footer="0.3"/>
  <x:drawing xmlns:r="http://schemas.openxmlformats.org/officeDocument/2006/relationships" r:id="R2b79c290d5a843f3"/>
</x:worksheet>
</file>

<file path=xl/worksheets/sheet5.xml><?xml version="1.0" encoding="utf-8"?>
<x:worksheet xmlns:x="http://schemas.openxmlformats.org/spreadsheetml/2006/main">
  <x:sheetFormatPr defaultRowHeight="15"/>
  <x:cols>
    <x:col min="1" max="1" width="32" hidden="0" customWidth="1"/>
    <x:col min="2" max="2" width="18" hidden="0" customWidth="1"/>
    <x:col min="4" max="4" width="24" hidden="0" customWidth="1"/>
    <x:col min="5" max="5" width="28" hidden="0" customWidth="1"/>
    <x:col min="6" max="6" width="34" hidden="0" customWidth="1"/>
    <x:col min="7" max="7" width="40" hidden="0" customWidth="1"/>
    <x:col min="8" max="8" width="14" hidden="0" customWidth="1"/>
  </x:cols>
  <x:sheetData>
    <x:row r="1">
      <x:c r="A1" s="7" t="str">
        <x:v>LOGIC Model 1 — Mass-Constrained Power + Thermal Bank Summary</x:v>
      </x:c>
      <x:c r="B1" s="7"/>
      <x:c r="C1" s="7"/>
      <x:c r="D1" s="7"/>
      <x:c r="E1" s="7"/>
      <x:c r="F1" s="7"/>
      <x:c r="G1" s="7"/>
      <x:c r="H1" s="7"/>
      <x:c r="I1" s="2"/>
      <x:c r="J1" s="2"/>
      <x:c r="K1" s="2"/>
      <x:c r="L1" s="2"/>
      <x:c r="M1" s="2"/>
      <x:c r="N1" s="2"/>
      <x:c r="O1" s="2"/>
      <x:c r="P1" s="2"/>
      <x:c r="Q1" s="2"/>
    </x:row>
    <x:row r="2">
      <x:c r="A2" s="2"/>
      <x:c r="B2" s="2"/>
      <x:c r="C2" s="2"/>
      <x:c r="D2" s="2"/>
      <x:c r="E2" s="2"/>
      <x:c r="F2" s="2"/>
      <x:c r="G2" s="2"/>
      <x:c r="H2" s="2"/>
      <x:c r="I2" s="2"/>
      <x:c r="J2" s="2"/>
      <x:c r="K2" s="2"/>
      <x:c r="L2" s="2"/>
      <x:c r="M2" s="2"/>
      <x:c r="N2" s="2"/>
      <x:c r="O2" s="2"/>
      <x:c r="P2" s="2"/>
      <x:c r="Q2" s="2"/>
    </x:row>
    <x:row r="3">
      <x:c r="A3" s="15" t="str">
        <x:v>KPI</x:v>
      </x:c>
      <x:c r="B3" s="15" t="str">
        <x:v>Value</x:v>
      </x:c>
      <x:c r="C3" s="2"/>
      <x:c r="D3" s="15" t="str">
        <x:v>Decision</x:v>
      </x:c>
      <x:c r="E3" s="15" t="str">
        <x:v>Current rule</x:v>
      </x:c>
      <x:c r="F3" s="15" t="str">
        <x:v>Reason</x:v>
      </x:c>
      <x:c r="G3" s="15" t="str">
        <x:v>Early mission implication</x:v>
      </x:c>
      <x:c r="H3" s="15" t="str">
        <x:v>Status</x:v>
      </x:c>
      <x:c r="I3" s="2"/>
      <x:c r="J3" s="2"/>
      <x:c r="K3" s="2"/>
      <x:c r="L3" s="2"/>
      <x:c r="M3" s="2"/>
      <x:c r="N3" s="2"/>
      <x:c r="O3" s="2"/>
      <x:c r="P3" s="2"/>
      <x:c r="Q3" s="2"/>
    </x:row>
    <x:row r="4">
      <x:c r="A4" s="2" t="str">
        <x:v>Average station load kW</x:v>
      </x:c>
      <x:c r="B4" s="20" t="n">
        <x:f>Inputs!B5</x:f>
        <x:v>12.5</x:v>
      </x:c>
      <x:c r="C4" s="2"/>
      <x:c r="D4" s="2" t="str">
        <x:v>Battery sizing</x:v>
      </x:c>
      <x:c r="E4" s="2" t="str">
        <x:v>Meet critical autonomy</x:v>
      </x:c>
      <x:c r="F4" s="2" t="str">
        <x:v>Life support survives source interruption</x:v>
      </x:c>
      <x:c r="G4" s="2" t="str">
        <x:v>Mass intensive; minimize oversizing</x:v>
      </x:c>
      <x:c r="H4" s="2" t="str">
        <x:v>Active</x:v>
      </x:c>
      <x:c r="I4" s="2"/>
      <x:c r="J4" s="2"/>
      <x:c r="K4" s="2"/>
      <x:c r="L4" s="2"/>
      <x:c r="M4" s="2"/>
      <x:c r="N4" s="2"/>
      <x:c r="O4" s="2"/>
      <x:c r="P4" s="2"/>
      <x:c r="Q4" s="2"/>
    </x:row>
    <x:row r="5">
      <x:c r="A5" s="2" t="str">
        <x:v>Daily station energy kWh</x:v>
      </x:c>
      <x:c r="B5" s="20" t="n">
        <x:f>'24h Dispatch'!Q4</x:f>
        <x:v>299.9999999999999</x:v>
      </x:c>
      <x:c r="C5" s="2"/>
      <x:c r="D5" s="2" t="str">
        <x:v>Thermal bank</x:v>
      </x:c>
      <x:c r="E5" s="2" t="str">
        <x:v>Use local regolith as storage mass</x:v>
      </x:c>
      <x:c r="F5" s="2" t="str">
        <x:v>High thermal capacity without launch mass</x:v>
      </x:c>
      <x:c r="G5" s="2" t="str">
        <x:v>Hardware mass only is landed</x:v>
      </x:c>
      <x:c r="H5" s="2" t="str">
        <x:v>Add</x:v>
      </x:c>
      <x:c r="I5" s="2"/>
      <x:c r="J5" s="2"/>
      <x:c r="K5" s="2"/>
      <x:c r="L5" s="2"/>
      <x:c r="M5" s="2"/>
      <x:c r="N5" s="2"/>
      <x:c r="O5" s="2"/>
      <x:c r="P5" s="2"/>
      <x:c r="Q5" s="2"/>
    </x:row>
    <x:row r="6">
      <x:c r="A6" s="2" t="str">
        <x:v>Installed battery kWh</x:v>
      </x:c>
      <x:c r="B6" s="20" t="n">
        <x:f>Inputs!B9</x:f>
        <x:v>118.5</x:v>
      </x:c>
      <x:c r="C6" s="2"/>
      <x:c r="D6" s="2" t="str">
        <x:v>Graywater loop</x:v>
      </x:c>
      <x:c r="E6" s="2" t="str">
        <x:v>Closed-loop heat transfer only</x:v>
      </x:c>
      <x:c r="F6" s="2" t="str">
        <x:v>Protect water inventory and contamination control</x:v>
      </x:c>
      <x:c r="G6" s="2" t="str">
        <x:v>Can serve ECLSS heat rejection/recovery</x:v>
      </x:c>
      <x:c r="H6" s="2" t="str">
        <x:v>Add</x:v>
      </x:c>
      <x:c r="I6" s="2"/>
      <x:c r="J6" s="2"/>
      <x:c r="K6" s="2"/>
      <x:c r="L6" s="2"/>
      <x:c r="M6" s="2"/>
      <x:c r="N6" s="2"/>
      <x:c r="O6" s="2"/>
      <x:c r="P6" s="2"/>
      <x:c r="Q6" s="2"/>
    </x:row>
    <x:row r="7">
      <x:c r="A7" s="2" t="str">
        <x:v>Recoverable thermal bank kWh_th</x:v>
      </x:c>
      <x:c r="B7" s="20" t="n">
        <x:f>'Thermal Bank'!B11</x:f>
        <x:v>50.555555555555564</x:v>
      </x:c>
      <x:c r="C7" s="2"/>
      <x:c r="D7" s="2" t="str">
        <x:v>Fission</x:v>
      </x:c>
      <x:c r="E7" s="2" t="str">
        <x:v>Optional by mission phase</x:v>
      </x:c>
      <x:c r="F7" s="2" t="str">
        <x:v>Changes storage and dispatch drastically</x:v>
      </x:c>
      <x:c r="G7" s="2" t="str">
        <x:v>Set rated power to zero before arrival</x:v>
      </x:c>
      <x:c r="H7" s="2" t="str">
        <x:v>Editable</x:v>
      </x:c>
      <x:c r="I7" s="2"/>
      <x:c r="J7" s="2"/>
      <x:c r="K7" s="2"/>
      <x:c r="L7" s="2"/>
      <x:c r="M7" s="2"/>
      <x:c r="N7" s="2"/>
      <x:c r="O7" s="2"/>
      <x:c r="P7" s="2"/>
      <x:c r="Q7" s="2"/>
    </x:row>
    <x:row r="8">
      <x:c r="A8" s="2" t="str">
        <x:v>Landed power-system mass kg</x:v>
      </x:c>
      <x:c r="B8" s="20" t="n">
        <x:f>'Mass Budget'!B12</x:f>
        <x:v>5690.625</x:v>
      </x:c>
      <x:c r="C8" s="2"/>
      <x:c r="D8" s="2" t="str">
        <x:v>Excess power</x:v>
      </x:c>
      <x:c r="E8" s="2" t="str">
        <x:v>Battery → thermal bank → flexible loads</x:v>
      </x:c>
      <x:c r="F8" s="2" t="str">
        <x:v>Avoid unnecessary curtailment</x:v>
      </x:c>
      <x:c r="G8" s="2" t="str">
        <x:v>ISRU/plant/charging become energy sinks</x:v>
      </x:c>
      <x:c r="H8" s="2" t="str">
        <x:v>Active</x:v>
      </x:c>
      <x:c r="I8" s="2"/>
      <x:c r="J8" s="2"/>
      <x:c r="K8" s="2"/>
      <x:c r="L8" s="2"/>
      <x:c r="M8" s="2"/>
      <x:c r="N8" s="2"/>
      <x:c r="O8" s="2"/>
      <x:c r="P8" s="2"/>
      <x:c r="Q8" s="2"/>
    </x:row>
    <x:row r="9">
      <x:c r="A9" s="2" t="str">
        <x:v>Mass cap kg</x:v>
      </x:c>
      <x:c r="B9" s="20" t="n">
        <x:f>'Mass Budget'!B13</x:f>
        <x:v>3500</x:v>
      </x:c>
      <x:c r="C9" s="2"/>
      <x:c r="D9" s="2" t="str">
        <x:v>Mass gate</x:v>
      </x:c>
      <x:c r="E9" s="2" t="str">
        <x:v>Do not exceed landed allocation</x:v>
      </x:c>
      <x:c r="F9" s="2" t="str">
        <x:v>Early missions are cargo constrained</x:v>
      </x:c>
      <x:c r="G9" s="2" t="str">
        <x:v>Model rejects attractive but overweight architecture</x:v>
      </x:c>
      <x:c r="H9" s="2" t="str">
        <x:v>Active</x:v>
      </x:c>
      <x:c r="I9" s="2"/>
      <x:c r="J9" s="2"/>
      <x:c r="K9" s="2"/>
      <x:c r="L9" s="2"/>
      <x:c r="M9" s="2"/>
      <x:c r="N9" s="2"/>
      <x:c r="O9" s="2"/>
      <x:c r="P9" s="2"/>
      <x:c r="Q9" s="2"/>
    </x:row>
    <x:row r="10">
      <x:c r="A10" s="2" t="str">
        <x:v>Mass margin kg</x:v>
      </x:c>
      <x:c r="B10" s="20" t="n">
        <x:f>'Mass Budget'!B14</x:f>
        <x:v>-2190.625</x:v>
      </x:c>
      <x:c r="C10" s="2"/>
      <x:c r="D10" s="2"/>
      <x:c r="E10" s="2"/>
      <x:c r="F10" s="2"/>
      <x:c r="G10" s="2"/>
      <x:c r="H10" s="2"/>
      <x:c r="I10" s="2"/>
      <x:c r="J10" s="2"/>
      <x:c r="K10" s="2"/>
      <x:c r="L10" s="2"/>
      <x:c r="M10" s="2"/>
      <x:c r="N10" s="2"/>
      <x:c r="O10" s="2"/>
      <x:c r="P10" s="2"/>
      <x:c r="Q10" s="2"/>
    </x:row>
    <x:row r="11">
      <x:c r="A11" s="2" t="str">
        <x:v>Mass margin %</x:v>
      </x:c>
      <x:c r="B11" s="22" t="n">
        <x:f>'Mass Budget'!B15</x:f>
        <x:v>-0.6258928571428571</x:v>
      </x:c>
      <x:c r="C11" s="2"/>
      <x:c r="D11" s="2"/>
      <x:c r="E11" s="2"/>
      <x:c r="F11" s="2"/>
      <x:c r="G11" s="2"/>
      <x:c r="H11" s="2"/>
      <x:c r="I11" s="2"/>
      <x:c r="J11" s="2"/>
      <x:c r="K11" s="2"/>
      <x:c r="L11" s="2"/>
      <x:c r="M11" s="2"/>
      <x:c r="N11" s="2"/>
      <x:c r="O11" s="2"/>
      <x:c r="P11" s="2"/>
      <x:c r="Q11" s="2"/>
    </x:row>
    <x:row r="12">
      <x:c r="A12" s="2"/>
      <x:c r="B12" s="2"/>
      <x:c r="C12" s="2"/>
      <x:c r="D12" s="2"/>
      <x:c r="E12" s="2"/>
      <x:c r="F12" s="2"/>
      <x:c r="G12" s="2"/>
      <x:c r="H12" s="2"/>
      <x:c r="I12" s="2"/>
      <x:c r="J12" s="2"/>
      <x:c r="K12" s="2"/>
      <x:c r="L12" s="2"/>
      <x:c r="M12" s="2"/>
      <x:c r="N12" s="2"/>
      <x:c r="O12" s="2"/>
      <x:c r="P12" s="2"/>
      <x:c r="Q12" s="2"/>
    </x:row>
    <x:row r="13">
      <x:c r="A13" s="2"/>
      <x:c r="B13" s="2"/>
      <x:c r="C13" s="2"/>
      <x:c r="D13" s="2"/>
      <x:c r="E13" s="2"/>
      <x:c r="F13" s="2"/>
      <x:c r="G13" s="2"/>
      <x:c r="H13" s="2"/>
      <x:c r="I13" s="2"/>
      <x:c r="J13" s="2"/>
      <x:c r="K13" s="2"/>
      <x:c r="L13" s="2"/>
      <x:c r="M13" s="2"/>
      <x:c r="N13" s="2"/>
      <x:c r="O13" s="2"/>
      <x:c r="P13" s="2"/>
      <x:c r="Q13" s="2"/>
    </x:row>
    <x:row r="14">
      <x:c r="A14" s="2"/>
      <x:c r="B14" s="2"/>
      <x:c r="C14" s="2"/>
      <x:c r="D14" s="2"/>
      <x:c r="E14" s="2"/>
      <x:c r="F14" s="2"/>
      <x:c r="G14" s="2"/>
      <x:c r="H14" s="2"/>
      <x:c r="I14" s="2"/>
      <x:c r="J14" s="2"/>
      <x:c r="K14" s="2"/>
      <x:c r="L14" s="2"/>
      <x:c r="M14" s="2"/>
      <x:c r="N14" s="2"/>
      <x:c r="O14" s="2"/>
      <x:c r="P14" s="2"/>
      <x:c r="Q14" s="2"/>
    </x:row>
    <x:row r="15">
      <x:c r="A15" s="2"/>
      <x:c r="B15" s="2"/>
      <x:c r="C15" s="2"/>
      <x:c r="D15" s="2"/>
      <x:c r="E15" s="2"/>
      <x:c r="F15" s="2"/>
      <x:c r="G15" s="2"/>
      <x:c r="H15" s="2"/>
      <x:c r="I15" s="2"/>
      <x:c r="J15" s="2"/>
      <x:c r="K15" s="2"/>
      <x:c r="L15" s="2"/>
      <x:c r="M15" s="2"/>
      <x:c r="N15" s="2"/>
      <x:c r="O15" s="2"/>
      <x:c r="P15" s="2"/>
      <x:c r="Q15" s="2"/>
    </x:row>
    <x:row r="16">
      <x:c r="A16" s="2"/>
      <x:c r="B16" s="2"/>
      <x:c r="C16" s="2"/>
      <x:c r="D16" s="2"/>
      <x:c r="E16" s="2"/>
      <x:c r="F16" s="2"/>
      <x:c r="G16" s="2"/>
      <x:c r="H16" s="2"/>
      <x:c r="I16" s="2"/>
      <x:c r="J16" s="2"/>
      <x:c r="K16" s="2"/>
      <x:c r="L16" s="2"/>
      <x:c r="M16" s="2"/>
      <x:c r="N16" s="2"/>
      <x:c r="O16" s="2"/>
      <x:c r="P16" s="2"/>
      <x:c r="Q16" s="2"/>
    </x:row>
    <x:row r="17">
      <x:c r="A17" s="2"/>
      <x:c r="B17" s="2"/>
      <x:c r="C17" s="2"/>
      <x:c r="D17" s="2"/>
      <x:c r="E17" s="2"/>
      <x:c r="F17" s="2"/>
      <x:c r="G17" s="2"/>
      <x:c r="H17" s="2"/>
      <x:c r="I17" s="2"/>
      <x:c r="J17" s="2"/>
      <x:c r="K17" s="2"/>
      <x:c r="L17" s="2"/>
      <x:c r="M17" s="2"/>
      <x:c r="N17" s="2"/>
      <x:c r="O17" s="2"/>
      <x:c r="P17" s="2"/>
      <x:c r="Q17" s="2"/>
    </x:row>
    <x:row r="18">
      <x:c r="A18" s="2"/>
      <x:c r="B18" s="2"/>
      <x:c r="C18" s="2"/>
      <x:c r="D18" s="2"/>
      <x:c r="E18" s="2"/>
      <x:c r="F18" s="2"/>
      <x:c r="G18" s="2"/>
      <x:c r="H18" s="2"/>
      <x:c r="I18" s="2"/>
      <x:c r="J18" s="2"/>
      <x:c r="K18" s="2"/>
      <x:c r="L18" s="2"/>
      <x:c r="M18" s="2"/>
      <x:c r="N18" s="2"/>
      <x:c r="O18" s="2"/>
      <x:c r="P18" s="2"/>
      <x:c r="Q18" s="2"/>
    </x:row>
    <x:row r="19">
      <x:c r="A19" s="2"/>
      <x:c r="B19" s="2"/>
      <x:c r="C19" s="2"/>
      <x:c r="D19" s="2"/>
      <x:c r="E19" s="2"/>
      <x:c r="F19" s="2"/>
      <x:c r="G19" s="2"/>
      <x:c r="H19" s="2"/>
      <x:c r="I19" s="2"/>
      <x:c r="J19" s="2"/>
      <x:c r="K19" s="2"/>
      <x:c r="L19" s="2"/>
      <x:c r="M19" s="2"/>
      <x:c r="N19" s="2"/>
      <x:c r="O19" s="2"/>
      <x:c r="P19" s="2"/>
      <x:c r="Q19" s="2"/>
    </x:row>
    <x:row r="20">
      <x:c r="A20" s="2"/>
      <x:c r="B20" s="2"/>
      <x:c r="C20" s="2"/>
      <x:c r="D20" s="2"/>
      <x:c r="E20" s="2"/>
      <x:c r="F20" s="2"/>
      <x:c r="G20" s="2"/>
      <x:c r="H20" s="2"/>
      <x:c r="I20" s="2"/>
      <x:c r="J20" s="2"/>
      <x:c r="K20" s="2"/>
      <x:c r="L20" s="2"/>
      <x:c r="M20" s="2"/>
      <x:c r="N20" s="2"/>
      <x:c r="O20" s="2"/>
      <x:c r="P20" s="2"/>
      <x:c r="Q20" s="2"/>
    </x:row>
    <x:row r="21">
      <x:c r="A21" s="2"/>
      <x:c r="B21" s="2"/>
      <x:c r="C21" s="2"/>
      <x:c r="D21" s="2"/>
      <x:c r="E21" s="2"/>
      <x:c r="F21" s="2"/>
      <x:c r="G21" s="2"/>
      <x:c r="H21" s="2"/>
      <x:c r="I21" s="2"/>
      <x:c r="J21" s="2"/>
      <x:c r="K21" s="2"/>
      <x:c r="L21" s="2"/>
      <x:c r="M21" s="2"/>
      <x:c r="N21" s="2"/>
      <x:c r="O21" s="2"/>
      <x:c r="P21" s="2"/>
      <x:c r="Q21" s="2"/>
    </x:row>
    <x:row r="22">
      <x:c r="A22" s="2"/>
      <x:c r="B22" s="2"/>
      <x:c r="C22" s="2"/>
      <x:c r="D22" s="2"/>
      <x:c r="E22" s="2"/>
      <x:c r="F22" s="2"/>
      <x:c r="G22" s="2"/>
      <x:c r="H22" s="2"/>
      <x:c r="I22" s="2"/>
      <x:c r="J22" s="2"/>
      <x:c r="K22" s="2"/>
      <x:c r="L22" s="2"/>
      <x:c r="M22" s="2"/>
      <x:c r="N22" s="2"/>
      <x:c r="O22" s="2"/>
      <x:c r="P22" s="2"/>
      <x:c r="Q22" s="2"/>
    </x:row>
    <x:row r="23">
      <x:c r="A23" s="2"/>
      <x:c r="B23" s="2"/>
      <x:c r="C23" s="2"/>
      <x:c r="D23" s="2"/>
      <x:c r="E23" s="2"/>
      <x:c r="F23" s="2"/>
      <x:c r="G23" s="2"/>
      <x:c r="H23" s="2"/>
      <x:c r="I23" s="2"/>
      <x:c r="J23" s="2"/>
      <x:c r="K23" s="2"/>
      <x:c r="L23" s="2"/>
      <x:c r="M23" s="2"/>
      <x:c r="N23" s="2"/>
      <x:c r="O23" s="2"/>
      <x:c r="P23" s="2"/>
      <x:c r="Q23" s="2"/>
    </x:row>
    <x:row r="24">
      <x:c r="A24" s="2"/>
      <x:c r="B24" s="2"/>
      <x:c r="C24" s="2"/>
      <x:c r="D24" s="2"/>
      <x:c r="E24" s="2"/>
      <x:c r="F24" s="2"/>
      <x:c r="G24" s="2"/>
      <x:c r="H24" s="2"/>
      <x:c r="I24" s="2"/>
      <x:c r="J24" s="2"/>
      <x:c r="K24" s="2"/>
      <x:c r="L24" s="2"/>
      <x:c r="M24" s="2"/>
      <x:c r="N24" s="2"/>
      <x:c r="O24" s="2"/>
      <x:c r="P24" s="2"/>
      <x:c r="Q24" s="2"/>
    </x:row>
    <x:row r="25">
      <x:c r="A25" s="2"/>
      <x:c r="B25" s="2"/>
      <x:c r="C25" s="2"/>
      <x:c r="D25" s="2"/>
      <x:c r="E25" s="2"/>
      <x:c r="F25" s="2"/>
      <x:c r="G25" s="2"/>
      <x:c r="H25" s="2"/>
      <x:c r="I25" s="2"/>
      <x:c r="J25" s="2"/>
      <x:c r="K25" s="2"/>
      <x:c r="L25" s="2"/>
      <x:c r="M25" s="2"/>
      <x:c r="N25" s="2"/>
      <x:c r="O25" s="2"/>
      <x:c r="P25" s="2"/>
      <x:c r="Q25" s="2"/>
    </x:row>
    <x:row r="26">
      <x:c r="A26" s="2"/>
      <x:c r="B26" s="2"/>
      <x:c r="C26" s="2"/>
      <x:c r="D26" s="2"/>
      <x:c r="E26" s="2"/>
      <x:c r="F26" s="2"/>
      <x:c r="G26" s="2"/>
      <x:c r="H26" s="2"/>
      <x:c r="I26" s="2"/>
      <x:c r="J26" s="2"/>
      <x:c r="K26" s="2"/>
      <x:c r="L26" s="2"/>
      <x:c r="M26" s="2"/>
      <x:c r="N26" s="2"/>
      <x:c r="O26" s="2"/>
      <x:c r="P26" s="2"/>
      <x:c r="Q26" s="2"/>
    </x:row>
    <x:row r="27">
      <x:c r="A27" s="2"/>
      <x:c r="B27" s="2"/>
      <x:c r="C27" s="2"/>
      <x:c r="D27" s="2"/>
      <x:c r="E27" s="2"/>
      <x:c r="F27" s="2"/>
      <x:c r="G27" s="2"/>
      <x:c r="H27" s="2"/>
      <x:c r="I27" s="2"/>
      <x:c r="J27" s="2"/>
      <x:c r="K27" s="2"/>
      <x:c r="L27" s="2"/>
      <x:c r="M27" s="2"/>
      <x:c r="N27" s="2"/>
      <x:c r="O27" s="2"/>
      <x:c r="P27" s="2"/>
      <x:c r="Q27" s="2"/>
    </x:row>
    <x:row r="28">
      <x:c r="A28" s="2"/>
      <x:c r="B28" s="2"/>
      <x:c r="C28" s="2"/>
      <x:c r="D28" s="2"/>
      <x:c r="E28" s="2"/>
      <x:c r="F28" s="2"/>
      <x:c r="G28" s="2"/>
      <x:c r="H28" s="2"/>
      <x:c r="I28" s="2"/>
      <x:c r="J28" s="2"/>
      <x:c r="K28" s="2"/>
      <x:c r="L28" s="2"/>
      <x:c r="M28" s="2"/>
      <x:c r="N28" s="2"/>
      <x:c r="O28" s="2"/>
      <x:c r="P28" s="2"/>
      <x:c r="Q28" s="2"/>
    </x:row>
    <x:row r="29">
      <x:c r="A29" s="2"/>
      <x:c r="B29" s="2"/>
      <x:c r="C29" s="2"/>
      <x:c r="D29" s="2"/>
      <x:c r="E29" s="2"/>
      <x:c r="F29" s="2"/>
      <x:c r="G29" s="2"/>
      <x:c r="H29" s="2"/>
      <x:c r="I29" s="2"/>
      <x:c r="J29" s="2"/>
      <x:c r="K29" s="2"/>
      <x:c r="L29" s="2"/>
      <x:c r="M29" s="2"/>
      <x:c r="N29" s="2"/>
      <x:c r="O29" s="2"/>
      <x:c r="P29" s="2"/>
      <x:c r="Q29" s="2"/>
    </x:row>
    <x:row r="30">
      <x:c r="A30" s="2"/>
      <x:c r="B30" s="2"/>
      <x:c r="C30" s="2"/>
      <x:c r="D30" s="2"/>
      <x:c r="E30" s="2"/>
      <x:c r="F30" s="2"/>
      <x:c r="G30" s="2"/>
      <x:c r="H30" s="2"/>
      <x:c r="I30" s="2"/>
      <x:c r="J30" s="2"/>
      <x:c r="K30" s="2"/>
      <x:c r="L30" s="2"/>
      <x:c r="M30" s="2"/>
      <x:c r="N30" s="2"/>
      <x:c r="O30" s="2"/>
      <x:c r="P30" s="2"/>
      <x:c r="Q30" s="2"/>
    </x:row>
    <x:row r="31">
      <x:c r="A31" s="2"/>
      <x:c r="B31" s="2"/>
      <x:c r="C31" s="2"/>
      <x:c r="D31" s="2"/>
      <x:c r="E31" s="2"/>
      <x:c r="F31" s="2"/>
      <x:c r="G31" s="2"/>
      <x:c r="H31" s="2"/>
      <x:c r="I31" s="2"/>
      <x:c r="J31" s="2"/>
      <x:c r="K31" s="2"/>
      <x:c r="L31" s="2"/>
      <x:c r="M31" s="2"/>
      <x:c r="N31" s="2"/>
      <x:c r="O31" s="2"/>
      <x:c r="P31" s="2"/>
      <x:c r="Q31" s="2"/>
    </x:row>
    <x:row r="32">
      <x:c r="A32" s="2"/>
      <x:c r="B32" s="2"/>
      <x:c r="C32" s="2"/>
      <x:c r="D32" s="2"/>
      <x:c r="E32" s="2"/>
      <x:c r="F32" s="2"/>
      <x:c r="G32" s="2"/>
      <x:c r="H32" s="2"/>
      <x:c r="I32" s="2"/>
      <x:c r="J32" s="2"/>
      <x:c r="K32" s="2"/>
      <x:c r="L32" s="2"/>
      <x:c r="M32" s="2"/>
      <x:c r="N32" s="2"/>
      <x:c r="O32" s="2"/>
      <x:c r="P32" s="2"/>
      <x:c r="Q32" s="2"/>
    </x:row>
    <x:row r="33">
      <x:c r="A33" s="2"/>
      <x:c r="B33" s="2"/>
      <x:c r="C33" s="2"/>
      <x:c r="D33" s="2"/>
      <x:c r="E33" s="2"/>
      <x:c r="F33" s="2"/>
      <x:c r="G33" s="2"/>
      <x:c r="H33" s="2"/>
      <x:c r="I33" s="2"/>
      <x:c r="J33" s="2"/>
      <x:c r="K33" s="2"/>
      <x:c r="L33" s="2"/>
      <x:c r="M33" s="2"/>
      <x:c r="N33" s="2"/>
      <x:c r="O33" s="2"/>
      <x:c r="P33" s="2"/>
      <x:c r="Q33" s="2"/>
    </x:row>
    <x:row r="34">
      <x:c r="A34" s="2"/>
      <x:c r="B34" s="2"/>
      <x:c r="C34" s="2"/>
      <x:c r="D34" s="2"/>
      <x:c r="E34" s="2"/>
      <x:c r="F34" s="2"/>
      <x:c r="G34" s="2"/>
      <x:c r="H34" s="2"/>
      <x:c r="I34" s="2"/>
      <x:c r="J34" s="2"/>
      <x:c r="K34" s="2"/>
      <x:c r="L34" s="2"/>
      <x:c r="M34" s="2"/>
      <x:c r="N34" s="2"/>
      <x:c r="O34" s="2"/>
      <x:c r="P34" s="2"/>
      <x:c r="Q34" s="2"/>
    </x:row>
    <x:row r="35">
      <x:c r="A35" s="2"/>
      <x:c r="B35" s="2"/>
      <x:c r="C35" s="2"/>
      <x:c r="D35" s="2"/>
      <x:c r="E35" s="2"/>
      <x:c r="F35" s="2"/>
      <x:c r="G35" s="2"/>
      <x:c r="H35" s="2"/>
      <x:c r="I35" s="2"/>
      <x:c r="J35" s="2"/>
      <x:c r="K35" s="2"/>
      <x:c r="L35" s="2"/>
      <x:c r="M35" s="2"/>
      <x:c r="N35" s="2"/>
      <x:c r="O35" s="2"/>
      <x:c r="P35" s="2"/>
      <x:c r="Q35" s="2"/>
    </x:row>
    <x:row r="36">
      <x:c r="A36" s="2"/>
      <x:c r="B36" s="2"/>
      <x:c r="C36" s="2"/>
      <x:c r="D36" s="2"/>
      <x:c r="E36" s="2"/>
      <x:c r="F36" s="2"/>
      <x:c r="G36" s="2"/>
      <x:c r="H36" s="2"/>
      <x:c r="I36" s="2"/>
      <x:c r="J36" s="2"/>
      <x:c r="K36" s="2"/>
      <x:c r="L36" s="2"/>
      <x:c r="M36" s="2"/>
      <x:c r="N36" s="2"/>
      <x:c r="O36" s="2"/>
      <x:c r="P36" s="2"/>
      <x:c r="Q36" s="2"/>
    </x:row>
    <x:row r="37">
      <x:c r="A37" s="2"/>
      <x:c r="B37" s="2"/>
      <x:c r="C37" s="2"/>
      <x:c r="D37" s="2"/>
      <x:c r="E37" s="2"/>
      <x:c r="F37" s="2"/>
      <x:c r="G37" s="2"/>
      <x:c r="H37" s="2"/>
      <x:c r="I37" s="2"/>
      <x:c r="J37" s="2"/>
      <x:c r="K37" s="2"/>
      <x:c r="L37" s="2"/>
      <x:c r="M37" s="2"/>
      <x:c r="N37" s="2"/>
      <x:c r="O37" s="2"/>
      <x:c r="P37" s="2"/>
      <x:c r="Q37" s="2"/>
    </x:row>
    <x:row r="38">
      <x:c r="A38" s="2"/>
      <x:c r="B38" s="2"/>
      <x:c r="C38" s="2"/>
      <x:c r="D38" s="2"/>
      <x:c r="E38" s="2"/>
      <x:c r="F38" s="2"/>
      <x:c r="G38" s="2"/>
      <x:c r="H38" s="2"/>
      <x:c r="I38" s="2"/>
      <x:c r="J38" s="2"/>
      <x:c r="K38" s="2"/>
      <x:c r="L38" s="2"/>
      <x:c r="M38" s="2"/>
      <x:c r="N38" s="2"/>
      <x:c r="O38" s="2"/>
      <x:c r="P38" s="2"/>
      <x:c r="Q38" s="2"/>
    </x:row>
    <x:row r="39">
      <x:c r="A39" s="2"/>
      <x:c r="B39" s="2"/>
      <x:c r="C39" s="2"/>
      <x:c r="D39" s="2"/>
      <x:c r="E39" s="2"/>
      <x:c r="F39" s="2"/>
      <x:c r="G39" s="2"/>
      <x:c r="H39" s="2"/>
      <x:c r="I39" s="2"/>
      <x:c r="J39" s="2"/>
      <x:c r="K39" s="2"/>
      <x:c r="L39" s="2"/>
      <x:c r="M39" s="2"/>
      <x:c r="N39" s="2"/>
      <x:c r="O39" s="2"/>
      <x:c r="P39" s="2"/>
      <x:c r="Q39" s="2"/>
    </x:row>
    <x:row r="40">
      <x:c r="A40" s="2"/>
      <x:c r="B40" s="2"/>
      <x:c r="C40" s="2"/>
      <x:c r="D40" s="2"/>
      <x:c r="E40" s="2"/>
      <x:c r="F40" s="2"/>
      <x:c r="G40" s="2"/>
      <x:c r="H40" s="2"/>
      <x:c r="I40" s="2"/>
      <x:c r="J40" s="2"/>
      <x:c r="K40" s="2"/>
      <x:c r="L40" s="2"/>
      <x:c r="M40" s="2"/>
      <x:c r="N40" s="2"/>
      <x:c r="O40" s="2"/>
      <x:c r="P40" s="2"/>
      <x:c r="Q40" s="2"/>
    </x:row>
  </x:sheetData>
  <x:mergeCells>
    <x:mergeCell ref="A1:H1"/>
  </x:mergeCells>
  <x:conditionalFormatting sqref="B10:B11">
    <x:cfRule type="expression" dxfId="3" priority="1">
      <x:formula>B10&lt;0</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30" hidden="0" customWidth="1"/>
    <x:col min="2" max="2" width="18" hidden="0" customWidth="1"/>
    <x:col min="3" max="3" width="18" hidden="0" customWidth="1"/>
    <x:col min="4" max="4" width="34" hidden="0" customWidth="1"/>
    <x:col min="6" max="6" width="28" hidden="0" customWidth="1"/>
    <x:col min="7" max="7" width="18" hidden="0" customWidth="1"/>
    <x:col min="8" max="8" width="14" hidden="0" customWidth="1"/>
    <x:col min="9" max="9" width="26" hidden="0" customWidth="1"/>
    <x:col min="10" max="10" width="18" hidden="0" customWidth="1"/>
    <x:col min="11" max="11" width="18" hidden="0" customWidth="1"/>
    <x:col min="12" max="12" width="38" hidden="0" customWidth="1"/>
  </x:cols>
  <x:sheetData>
    <x:row r="1">
      <x:c r="A1" s="7" t="str">
        <x:v>LOGIC Lunar Surface Power Dashboard v5 — Power, Thermal, Mass, Illumination &amp; Deficit Control</x:v>
      </x:c>
      <x:c r="B1" s="7" t="str">
        <x:v>LOGIC Lunar Surface Power Dashboard v5 — Power, Thermal, Mass, Illumination &amp; Deficit Control</x:v>
      </x:c>
      <x:c r="C1" s="7" t="str">
        <x:v>LOGIC Lunar Surface Power Dashboard v5 — Power, Thermal, Mass, Illumination &amp; Deficit Control</x:v>
      </x:c>
      <x:c r="D1" s="7" t="str">
        <x:v>LOGIC Lunar Surface Power Dashboard v5 — Power, Thermal, Mass, Illumination &amp; Deficit Control</x:v>
      </x:c>
      <x:c r="E1" s="7" t="str">
        <x:v>LOGIC Lunar Surface Power Dashboard v5 — Power, Thermal, Mass, Illumination &amp; Deficit Control</x:v>
      </x:c>
      <x:c r="F1" s="7" t="str">
        <x:v>LOGIC Lunar Surface Power Dashboard v5 — Power, Thermal, Mass, Illumination &amp; Deficit Control</x:v>
      </x:c>
      <x:c r="G1" s="7" t="str">
        <x:v>LOGIC Lunar Surface Power Dashboard v5 — Power, Thermal, Mass, Illumination &amp; Deficit Control</x:v>
      </x:c>
      <x:c r="H1" s="7" t="str">
        <x:v>LOGIC Lunar Surface Power Dashboard v5 — Power, Thermal, Mass, Illumination &amp; Deficit Control</x:v>
      </x:c>
      <x:c r="I1" s="7" t="str">
        <x:v>LOGIC Lunar Surface Power Dashboard v5 — Power, Thermal, Mass, Illumination &amp; Deficit Control</x:v>
      </x:c>
      <x:c r="J1" s="7" t="str">
        <x:v>LOGIC Lunar Surface Power Dashboard v5 — Power, Thermal, Mass, Illumination &amp; Deficit Control</x:v>
      </x:c>
      <x:c r="K1" s="7" t="str">
        <x:v>LOGIC Lunar Surface Power Dashboard v5 — Power, Thermal, Mass, Illumination &amp; Deficit Control</x:v>
      </x:c>
      <x:c r="L1" s="7" t="str">
        <x:v>LOGIC Lunar Surface Power Dashboard v5 — Power, Thermal, Mass, Illumination &amp; Deficit Control</x:v>
      </x:c>
      <x:c r="M1" s="2"/>
      <x:c r="N1" s="2"/>
      <x:c r="O1" s="2"/>
      <x:c r="P1" s="2"/>
      <x:c r="Q1" s="2"/>
    </x:row>
    <x:row r="2">
      <x:c r="A2" s="2"/>
      <x:c r="B2" s="2"/>
      <x:c r="C2" s="2"/>
      <x:c r="D2" s="2"/>
      <x:c r="E2" s="2"/>
      <x:c r="F2" s="2"/>
      <x:c r="G2" s="2"/>
      <x:c r="H2" s="2"/>
      <x:c r="I2" s="2"/>
      <x:c r="J2" s="2"/>
      <x:c r="K2" s="2"/>
      <x:c r="L2" s="2"/>
      <x:c r="M2" s="2"/>
      <x:c r="N2" s="2"/>
      <x:c r="O2" s="2"/>
      <x:c r="P2" s="2"/>
      <x:c r="Q2" s="2"/>
    </x:row>
    <x:row r="3">
      <x:c r="A3" s="15" t="str">
        <x:v>OPERATING MODE</x:v>
      </x:c>
      <x:c r="B3" s="15" t="str">
        <x:v>6 CREW</x:v>
      </x:c>
      <x:c r="C3" s="15" t="str">
        <x:v>12 CREW HANDOVER</x:v>
      </x:c>
      <x:c r="D3" s="15" t="str">
        <x:v>ENGINEERING NOTE</x:v>
      </x:c>
      <x:c r="E3" s="2"/>
      <x:c r="F3" s="15" t="str">
        <x:v>POWER ARCHITECTURE</x:v>
      </x:c>
      <x:c r="G3" s="15" t="str">
        <x:v>2027–28</x:v>
      </x:c>
      <x:c r="H3" s="15" t="str">
        <x:v>2030</x:v>
      </x:c>
      <x:c r="I3" s="15" t="str">
        <x:v>2032+</x:v>
      </x:c>
      <x:c r="J3" s="15" t="str">
        <x:v>ROLE</x:v>
      </x:c>
      <x:c r="K3" s="15" t="str">
        <x:v>STATUS</x:v>
      </x:c>
      <x:c r="L3" s="15" t="str">
        <x:v>COMMENT</x:v>
      </x:c>
      <x:c r="M3" s="2"/>
      <x:c r="N3" s="2"/>
      <x:c r="O3" s="2"/>
      <x:c r="P3" s="2"/>
      <x:c r="Q3" s="2"/>
    </x:row>
    <x:row r="4">
      <x:c r="A4" s="2" t="str">
        <x:v>Average station load (kW)</x:v>
      </x:c>
      <x:c r="B4" s="20" t="n">
        <x:f>Inputs!B5</x:f>
        <x:v>12.5</x:v>
      </x:c>
      <x:c r="C4" s="20" t="n">
        <x:v>17.5</x:v>
      </x:c>
      <x:c r="D4" s="2" t="str">
        <x:v>Facility-model total</x:v>
      </x:c>
      <x:c r="E4" s="2"/>
      <x:c r="F4" s="2" t="str">
        <x:v>10 kW VSAT-class solar</x:v>
      </x:c>
      <x:c r="G4" s="2" t="str">
        <x:v>10–20 kW installed</x:v>
      </x:c>
      <x:c r="H4" s="2" t="str">
        <x:v>20 kW installed</x:v>
      </x:c>
      <x:c r="I4" s="2" t="str">
        <x:v>20–50+ kW</x:v>
      </x:c>
      <x:c r="J4" s="2" t="str">
        <x:v>Variable solar</x:v>
      </x:c>
      <x:c r="K4" s="2" t="str">
        <x:v>NASA path / planning</x:v>
      </x:c>
      <x:c r="L4" s="2" t="str">
        <x:v>Near-continuous only at favorable sites</x:v>
      </x:c>
      <x:c r="M4" s="2"/>
      <x:c r="N4" s="2"/>
      <x:c r="O4" s="2"/>
      <x:c r="P4" s="2"/>
      <x:c r="Q4" s="2"/>
    </x:row>
    <x:row r="5">
      <x:c r="A5" s="2" t="str">
        <x:v>Critical load (kW)</x:v>
      </x:c>
      <x:c r="B5" s="20" t="n">
        <x:v>7.9</x:v>
      </x:c>
      <x:c r="C5" s="20" t="n">
        <x:v>10.6</x:v>
      </x:c>
      <x:c r="D5" s="2" t="str">
        <x:v>Loads retained during constrained operation</x:v>
      </x:c>
      <x:c r="E5" s="2"/>
      <x:c r="F5" s="2" t="str">
        <x:v>Battery / regenerative storage</x:v>
      </x:c>
      <x:c r="G5" s="2" t="str">
        <x:v>40–120 kWh class</x:v>
      </x:c>
      <x:c r="H5" s="2" t="str">
        <x:v>Required</x:v>
      </x:c>
      <x:c r="I5" s="2" t="str">
        <x:v>Required</x:v>
      </x:c>
      <x:c r="J5" s="2" t="str">
        <x:v>Ride-through / peak</x:v>
      </x:c>
      <x:c r="K5" s="2" t="str">
        <x:v>Architecture</x:v>
      </x:c>
      <x:c r="L5" s="2" t="str">
        <x:v>Size driven by mission phase</x:v>
      </x:c>
      <x:c r="M5" s="2"/>
      <x:c r="N5" s="2"/>
      <x:c r="O5" s="2"/>
      <x:c r="P5" s="2"/>
      <x:c r="Q5" s="2"/>
    </x:row>
    <x:row r="6">
      <x:c r="A6" s="2" t="str">
        <x:v>Estimated peak (kW)</x:v>
      </x:c>
      <x:c r="B6" s="20" t="n">
        <x:f>B4*Inputs!B6</x:f>
        <x:v>20.625</x:v>
      </x:c>
      <x:c r="C6" s="20" t="n">
        <x:v>30.625</x:v>
      </x:c>
      <x:c r="D6" s="2" t="str">
        <x:v>Average × scenario peak factor</x:v>
      </x:c>
      <x:c r="E6" s="2"/>
      <x:c r="F6" s="2" t="str">
        <x:v>Fission surface power</x:v>
      </x:c>
      <x:c r="G6" s="2" t="str">
        <x:v>—</x:v>
      </x:c>
      <x:c r="H6" s="2" t="str">
        <x:v>40 kW-class</x:v>
      </x:c>
      <x:c r="I6" s="2" t="str">
        <x:v>40 kW+</x:v>
      </x:c>
      <x:c r="J6" s="2" t="str">
        <x:v>Firm baseload</x:v>
      </x:c>
      <x:c r="K6" s="2" t="str">
        <x:v>NASA target</x:v>
      </x:c>
      <x:c r="L6" s="2" t="str">
        <x:v>Model enables when delivered</x:v>
      </x:c>
      <x:c r="M6" s="2"/>
      <x:c r="N6" s="2"/>
      <x:c r="O6" s="2"/>
      <x:c r="P6" s="2"/>
      <x:c r="Q6" s="2"/>
    </x:row>
    <x:row r="7">
      <x:c r="A7" s="2" t="str">
        <x:v>Daily energy (kWh/day)</x:v>
      </x:c>
      <x:c r="B7" s="20" t="n">
        <x:f>B4*24</x:f>
        <x:v>300</x:v>
      </x:c>
      <x:c r="C7" s="20" t="n">
        <x:v>420</x:v>
      </x:c>
      <x:c r="D7" s="2" t="str">
        <x:v>Average × 24 h</x:v>
      </x:c>
      <x:c r="E7" s="2"/>
      <x:c r="F7" s="2" t="str">
        <x:v>Thermal bank</x:v>
      </x:c>
      <x:c r="G7" s="2" t="str">
        <x:v>Tech demo / seed</x:v>
      </x:c>
      <x:c r="H7" s="2" t="str">
        <x:v>Operational</x:v>
      </x:c>
      <x:c r="I7" s="2" t="str">
        <x:v>Expanded</x:v>
      </x:c>
      <x:c r="J7" s="2" t="str">
        <x:v>Waste-heat storage</x:v>
      </x:c>
      <x:c r="K7" s="2" t="str">
        <x:v>LOGIC concept</x:v>
      </x:c>
      <x:c r="L7" s="2" t="str">
        <x:v>Uses local regolith mass + closed fluid loop</x:v>
      </x:c>
      <x:c r="M7" s="2"/>
      <x:c r="N7" s="2"/>
      <x:c r="O7" s="2"/>
      <x:c r="P7" s="2"/>
      <x:c r="Q7" s="2"/>
    </x:row>
    <x:row r="8">
      <x:c r="A8" s="2" t="str">
        <x:v>Critical-load battery target (kWh)</x:v>
      </x:c>
      <x:c r="B8" s="20" t="n">
        <x:v>118.5</x:v>
      </x:c>
      <x:c r="C8" s="20" t="n">
        <x:v>159</x:v>
      </x:c>
      <x:c r="D8" s="2" t="str">
        <x:v>12 h autonomy / 80% usable fraction</x:v>
      </x:c>
      <x:c r="E8" s="2"/>
      <x:c r="F8" s="2" t="str">
        <x:v>Long feeders</x:v>
      </x:c>
      <x:c r="G8" s="2" t="str">
        <x:v>Demo / coupons</x:v>
      </x:c>
      <x:c r="H8" s="2" t="str">
        <x:v>10–40 kW trade</x:v>
      </x:c>
      <x:c r="I8" s="2" t="str">
        <x:v>km-class network</x:v>
      </x:c>
      <x:c r="J8" s="2" t="str">
        <x:v>Power transport</x:v>
      </x:c>
      <x:c r="K8" s="2" t="str">
        <x:v>LOGIC scale-up</x:v>
      </x:c>
      <x:c r="L8" s="2" t="str">
        <x:v>Thermal state, repair, sectionalization</x:v>
      </x:c>
      <x:c r="M8" s="2"/>
      <x:c r="N8" s="2"/>
      <x:c r="O8" s="2"/>
      <x:c r="P8" s="2"/>
      <x:c r="Q8" s="2"/>
    </x:row>
    <x:row r="9">
      <x:c r="A9" s="2" t="str">
        <x:v>Local exchange voltage (VDC)</x:v>
      </x:c>
      <x:c r="B9" s="20" t="n">
        <x:v>120</x:v>
      </x:c>
      <x:c r="C9" s="20" t="n">
        <x:v>120</x:v>
      </x:c>
      <x:c r="D9" s="2" t="str">
        <x:v>Nearby interoperable elements</x:v>
      </x:c>
      <x:c r="E9" s="2"/>
      <x:c r="F9" s="2" t="str">
        <x:v>Plant module</x:v>
      </x:c>
      <x:c r="G9" s="2" t="str">
        <x:v>— / tech demo</x:v>
      </x:c>
      <x:c r="H9" s="2" t="str">
        <x:v>25 m² initial</x:v>
      </x:c>
      <x:c r="I9" s="2" t="str">
        <x:v>50–100+ m²</x:v>
      </x:c>
      <x:c r="J9" s="2" t="str">
        <x:v>Food/science/ECLSS</x:v>
      </x:c>
      <x:c r="K9" s="2" t="str">
        <x:v>Our concept</x:v>
      </x:c>
      <x:c r="L9" s="2" t="str">
        <x:v>Lighting can shed before life-support functions</x:v>
      </x:c>
      <x:c r="M9" s="2"/>
      <x:c r="N9" s="2"/>
      <x:c r="O9" s="2"/>
      <x:c r="P9" s="2"/>
      <x:c r="Q9" s="2"/>
    </x:row>
    <x:row r="10">
      <x:c r="A10" s="2" t="str">
        <x:v>Long-distance trunk design voltage (VDC)</x:v>
      </x:c>
      <x:c r="B10" s="20" t="n">
        <x:v>800</x:v>
      </x:c>
      <x:c r="C10" s="20" t="n">
        <x:v>800</x:v>
      </x:c>
      <x:c r="D10" s="2" t="str">
        <x:v>Engineering trade; final value TBD</x:v>
      </x:c>
      <x:c r="E10" s="2"/>
      <x:c r="F10" s="2" t="str">
        <x:v>EM Management System</x:v>
      </x:c>
      <x:c r="G10" s="2" t="str">
        <x:v>Lab/tech maturation</x:v>
      </x:c>
      <x:c r="H10" s="2" t="str">
        <x:v>Habitat integration</x:v>
      </x:c>
      <x:c r="I10" s="2" t="str">
        <x:v>Scaled habitat system</x:v>
      </x:c>
      <x:c r="J10" s="2" t="str">
        <x:v>ECLSS adjunct</x:v>
      </x:c>
      <x:c r="K10" s="2" t="str">
        <x:v>Our concept</x:v>
      </x:c>
      <x:c r="L10" s="2" t="str">
        <x:v>Separate explicit load to be added after hardware characterization</x:v>
      </x:c>
      <x:c r="M10" s="2"/>
      <x:c r="N10" s="2"/>
      <x:c r="O10" s="2"/>
      <x:c r="P10" s="2"/>
      <x:c r="Q10" s="2"/>
    </x:row>
    <x:row r="11">
      <x:c r="A11" s="2"/>
      <x:c r="B11" s="2"/>
      <x:c r="C11" s="2"/>
      <x:c r="D11" s="2"/>
      <x:c r="E11" s="2"/>
      <x:c r="F11" s="2"/>
      <x:c r="G11" s="2"/>
      <x:c r="H11" s="2"/>
      <x:c r="I11" s="2"/>
      <x:c r="J11" s="2"/>
      <x:c r="K11" s="2"/>
      <x:c r="L11" s="2"/>
      <x:c r="M11" s="2"/>
      <x:c r="N11" s="2"/>
      <x:c r="O11" s="2"/>
      <x:c r="P11" s="2"/>
      <x:c r="Q11" s="2"/>
    </x:row>
    <x:row r="12">
      <x:c r="A12" s="15" t="str">
        <x:v>MASS &amp; PACKAGING KPI</x:v>
      </x:c>
      <x:c r="B12" s="15" t="str">
        <x:v>VALUE</x:v>
      </x:c>
      <x:c r="C12" s="15" t="str">
        <x:v>UNITS</x:v>
      </x:c>
      <x:c r="D12" s="15" t="str">
        <x:v>STATUS</x:v>
      </x:c>
      <x:c r="E12" s="2"/>
      <x:c r="F12" s="15" t="str">
        <x:v>THERMAL KPI</x:v>
      </x:c>
      <x:c r="G12" s="15" t="str">
        <x:v>VALUE</x:v>
      </x:c>
      <x:c r="H12" s="15" t="str">
        <x:v>UNITS</x:v>
      </x:c>
      <x:c r="I12" s="15" t="str">
        <x:v>STATUS</x:v>
      </x:c>
      <x:c r="J12" s="2"/>
      <x:c r="K12" s="2"/>
      <x:c r="L12" s="2"/>
      <x:c r="M12" s="2"/>
      <x:c r="N12" s="2"/>
      <x:c r="O12" s="2"/>
      <x:c r="P12" s="2"/>
      <x:c r="Q12" s="2"/>
    </x:row>
    <x:row r="13">
      <x:c r="A13" s="2" t="str">
        <x:v>2027 tech-demo landed mass</x:v>
      </x:c>
      <x:c r="B13" s="20" t="n">
        <x:f>'Mission Mass &amp; Fairing'!I21</x:f>
        <x:v>1010</x:v>
      </x:c>
      <x:c r="C13" s="2" t="str">
        <x:v>kg</x:v>
      </x:c>
      <x:c r="D13" s="2" t="str">
        <x:v>Planning</x:v>
      </x:c>
      <x:c r="E13" s="2"/>
      <x:c r="F13" s="2" t="str">
        <x:v>Recoverable thermal bank</x:v>
      </x:c>
      <x:c r="G13" s="20" t="n">
        <x:f>'Thermal Bank'!B11</x:f>
        <x:v>50.555555555555564</x:v>
      </x:c>
      <x:c r="H13" s="2" t="str">
        <x:v>kWh_th</x:v>
      </x:c>
      <x:c r="I13" s="2" t="str">
        <x:v>Model</x:v>
      </x:c>
      <x:c r="J13" s="2"/>
      <x:c r="K13" s="2"/>
      <x:c r="L13" s="2"/>
      <x:c r="M13" s="2"/>
      <x:c r="N13" s="2"/>
      <x:c r="O13" s="2"/>
      <x:c r="P13" s="2"/>
      <x:c r="Q13" s="2"/>
    </x:row>
    <x:row r="14">
      <x:c r="A14" s="2" t="str">
        <x:v>2028 early-infrastructure mass</x:v>
      </x:c>
      <x:c r="B14" s="20" t="n">
        <x:f>'Mission Mass &amp; Fairing'!I22</x:f>
        <x:v>2316</x:v>
      </x:c>
      <x:c r="C14" s="2" t="str">
        <x:v>kg</x:v>
      </x:c>
      <x:c r="D14" s="2" t="str">
        <x:v>Planning</x:v>
      </x:c>
      <x:c r="E14" s="2"/>
      <x:c r="F14" s="2" t="str">
        <x:v>24h banked heat</x:v>
      </x:c>
      <x:c r="G14" s="20" t="n">
        <x:f>'24h Dispatch'!Q9</x:f>
        <x:v>45.50000000000001</x:v>
      </x:c>
      <x:c r="H14" s="2" t="str">
        <x:v>kWh_th</x:v>
      </x:c>
      <x:c r="I14" s="2" t="str">
        <x:v>Model</x:v>
      </x:c>
      <x:c r="J14" s="2"/>
      <x:c r="K14" s="2"/>
      <x:c r="L14" s="2"/>
      <x:c r="M14" s="2"/>
      <x:c r="N14" s="2"/>
      <x:c r="O14" s="2"/>
      <x:c r="P14" s="2"/>
      <x:c r="Q14" s="2"/>
    </x:row>
    <x:row r="15">
      <x:c r="A15" s="2" t="str">
        <x:v>2028 mass reservation</x:v>
      </x:c>
      <x:c r="B15" s="20" t="n">
        <x:f>'Mission Mass &amp; Fairing'!I23</x:f>
        <x:v>2500</x:v>
      </x:c>
      <x:c r="C15" s="2" t="str">
        <x:v>kg</x:v>
      </x:c>
      <x:c r="D15" s="2" t="str">
        <x:v>Planning gate</x:v>
      </x:c>
      <x:c r="E15" s="2"/>
      <x:c r="F15" s="2" t="str">
        <x:v>24h curtailed electric</x:v>
      </x:c>
      <x:c r="G15" s="20" t="n">
        <x:f>'24h Dispatch'!Q10</x:f>
        <x:v>835.1999999999999</x:v>
      </x:c>
      <x:c r="H15" s="2" t="str">
        <x:v>kWh</x:v>
      </x:c>
      <x:c r="I15" s="2" t="str">
        <x:v>Model</x:v>
      </x:c>
      <x:c r="J15" s="2"/>
      <x:c r="K15" s="2"/>
      <x:c r="L15" s="2"/>
      <x:c r="M15" s="2"/>
      <x:c r="N15" s="2"/>
      <x:c r="O15" s="2"/>
      <x:c r="P15" s="2"/>
      <x:c r="Q15" s="2"/>
    </x:row>
    <x:row r="16">
      <x:c r="A16" s="2" t="str">
        <x:v>Local regolith thermal mass</x:v>
      </x:c>
      <x:c r="B16" s="20" t="n">
        <x:f>Inputs!B13</x:f>
        <x:v>10000</x:v>
      </x:c>
      <x:c r="C16" s="2" t="str">
        <x:v>kg</x:v>
      </x:c>
      <x:c r="D16" s="2" t="str">
        <x:v>No launch mass</x:v>
      </x:c>
      <x:c r="E16" s="2"/>
      <x:c r="F16" s="2" t="str">
        <x:v>24h unserved electric</x:v>
      </x:c>
      <x:c r="G16" s="20" t="n">
        <x:f>'24h Dispatch'!Q11</x:f>
        <x:v>0</x:v>
      </x:c>
      <x:c r="H16" s="2" t="str">
        <x:v>kWh</x:v>
      </x:c>
      <x:c r="I16" s="2" t="str">
        <x:v>Must be 0</x:v>
      </x:c>
      <x:c r="J16" s="2"/>
      <x:c r="K16" s="2"/>
      <x:c r="L16" s="2"/>
      <x:c r="M16" s="2"/>
      <x:c r="N16" s="2"/>
      <x:c r="O16" s="2"/>
      <x:c r="P16" s="2"/>
      <x:c r="Q16" s="2"/>
    </x:row>
    <x:row r="17">
      <x:c r="A17" s="2" t="str">
        <x:v>Thermal-bank landed hardware</x:v>
      </x:c>
      <x:c r="B17" s="20" t="n">
        <x:f>'Thermal Bank'!B12</x:f>
        <x:v>300</x:v>
      </x:c>
      <x:c r="C17" s="2" t="str">
        <x:v>kg</x:v>
      </x:c>
      <x:c r="D17" s="2" t="str">
        <x:v>Launch mass</x:v>
      </x:c>
      <x:c r="E17" s="2"/>
      <x:c r="F17" s="2" t="str">
        <x:v>Battery minimum SOC</x:v>
      </x:c>
      <x:c r="G17" s="22" t="n">
        <x:f>'24h Dispatch'!Q8</x:f>
        <x:v>0.95</x:v>
      </x:c>
      <x:c r="H17" s="2" t="str">
        <x:v>%</x:v>
      </x:c>
      <x:c r="I17" s="2" t="str">
        <x:v>Model</x:v>
      </x:c>
      <x:c r="J17" s="2"/>
      <x:c r="K17" s="2"/>
      <x:c r="L17" s="2"/>
      <x:c r="M17" s="2"/>
      <x:c r="N17" s="2"/>
      <x:c r="O17" s="2"/>
      <x:c r="P17" s="2"/>
      <x:c r="Q17" s="2"/>
    </x:row>
    <x:row r="18">
      <x:c r="A18" s="2" t="str">
        <x:v>Mass leverage</x:v>
      </x:c>
      <x:c r="B18" s="20" t="n">
        <x:f>B16/B17</x:f>
        <x:v>33.333333333333336</x:v>
      </x:c>
      <x:c r="C18" s="2" t="str">
        <x:v>kg local / kg landed</x:v>
      </x:c>
      <x:c r="D18" s="2" t="str">
        <x:v>Higher is better</x:v>
      </x:c>
      <x:c r="E18" s="2"/>
      <x:c r="F18" s="2" t="str">
        <x:v>Thermal bank function</x:v>
      </x:c>
      <x:c r="G18" s="2" t="str">
        <x:v>Waste heat → storage → reuse</x:v>
      </x:c>
      <x:c r="H18" s="2" t="str"/>
      <x:c r="I18" s="2" t="str">
        <x:v>Architecture</x:v>
      </x:c>
      <x:c r="J18" s="2"/>
      <x:c r="K18" s="2"/>
      <x:c r="L18" s="2"/>
      <x:c r="M18" s="2"/>
      <x:c r="N18" s="2"/>
      <x:c r="O18" s="2"/>
      <x:c r="P18" s="2"/>
      <x:c r="Q18" s="2"/>
    </x:row>
    <x:row r="19">
      <x:c r="A19" s="2"/>
      <x:c r="B19" s="2"/>
      <x:c r="C19" s="2"/>
      <x:c r="D19" s="2"/>
      <x:c r="E19" s="2"/>
      <x:c r="F19" s="2"/>
      <x:c r="G19" s="2"/>
      <x:c r="H19" s="2"/>
      <x:c r="I19" s="2"/>
      <x:c r="J19" s="2"/>
      <x:c r="K19" s="2"/>
      <x:c r="L19" s="2"/>
      <x:c r="M19" s="2"/>
      <x:c r="N19" s="2"/>
      <x:c r="O19" s="2"/>
      <x:c r="P19" s="2"/>
      <x:c r="Q19" s="2"/>
    </x:row>
    <x:row r="20">
      <x:c r="A20" s="37" t="str">
        <x:v>Decision rule: reserve launch mass and packaging volume for the minimum viable utility backbone first; use lunar regolith as thermal mass; defer growth hardware until generation margin, cargo allocation, and mission need justify it.</x:v>
      </x:c>
      <x:c r="B20" s="37"/>
      <x:c r="C20" s="37"/>
      <x:c r="D20" s="37"/>
      <x:c r="E20" s="37"/>
      <x:c r="F20" s="37"/>
      <x:c r="G20" s="37"/>
      <x:c r="H20" s="37"/>
      <x:c r="I20" s="37"/>
      <x:c r="J20" s="37"/>
      <x:c r="K20" s="37"/>
      <x:c r="L20" s="37"/>
      <x:c r="M20" s="2"/>
      <x:c r="N20" s="2"/>
      <x:c r="O20" s="2"/>
      <x:c r="P20" s="2"/>
      <x:c r="Q20" s="2"/>
    </x:row>
    <x:row r="21">
      <x:c r="A21" s="2"/>
      <x:c r="B21" s="2"/>
      <x:c r="C21" s="2"/>
      <x:c r="D21" s="2"/>
      <x:c r="E21" s="2"/>
      <x:c r="F21" s="2"/>
      <x:c r="G21" s="2"/>
      <x:c r="H21" s="2"/>
      <x:c r="I21" s="2"/>
      <x:c r="J21" s="2"/>
      <x:c r="K21" s="2"/>
      <x:c r="L21" s="2"/>
      <x:c r="M21" s="2"/>
      <x:c r="N21" s="2"/>
      <x:c r="O21" s="2"/>
      <x:c r="P21" s="2"/>
      <x:c r="Q21" s="2"/>
    </x:row>
    <x:row r="22">
      <x:c r="A22" s="61" t="str">
        <x:v>DEFICIT CONTROL</x:v>
      </x:c>
      <x:c r="B22" s="61" t="str">
        <x:v>VALUE</x:v>
      </x:c>
      <x:c r="C22" s="61" t="str">
        <x:v>UNITS</x:v>
      </x:c>
      <x:c r="D22" s="61" t="str">
        <x:v>STATUS</x:v>
      </x:c>
      <x:c r="E22" s="2"/>
      <x:c r="F22" s="61" t="str">
        <x:v>ILLUMINATION</x:v>
      </x:c>
      <x:c r="G22" s="61" t="str">
        <x:v>VALUE</x:v>
      </x:c>
      <x:c r="H22" s="61" t="str">
        <x:v>UNITS</x:v>
      </x:c>
      <x:c r="I22" s="61" t="str">
        <x:v>STATUS</x:v>
      </x:c>
      <x:c r="J22" s="2"/>
      <x:c r="K22" s="2"/>
      <x:c r="L22" s="2"/>
      <x:c r="M22" s="2"/>
      <x:c r="N22" s="2"/>
      <x:c r="O22" s="2"/>
      <x:c r="P22" s="2"/>
      <x:c r="Q22" s="2"/>
    </x:row>
    <x:row r="23">
      <x:c r="A23" s="2" t="str">
        <x:v>Nominal requested auction load</x:v>
      </x:c>
      <x:c r="B23" s="2" t="n">
        <x:f>'Load Auction'!B5</x:f>
        <x:v>12.800000000000002</x:v>
      </x:c>
      <x:c r="C23" s="2" t="str">
        <x:v>kW</x:v>
      </x:c>
      <x:c r="D23" s="2" t="str">
        <x:v>Model</x:v>
      </x:c>
      <x:c r="E23" s="2"/>
      <x:c r="F23" s="2" t="str">
        <x:v>Nominal Shackleton planning illumination</x:v>
      </x:c>
      <x:c r="G23" s="65" t="n">
        <x:v>0.85</x:v>
      </x:c>
      <x:c r="H23" s="2" t="str">
        <x:v>fraction</x:v>
      </x:c>
      <x:c r="I23" s="2" t="str">
        <x:v>Planning</x:v>
      </x:c>
      <x:c r="J23" s="2"/>
      <x:c r="K23" s="2"/>
      <x:c r="L23" s="2"/>
      <x:c r="M23" s="2"/>
      <x:c r="N23" s="2"/>
      <x:c r="O23" s="2"/>
      <x:c r="P23" s="2"/>
      <x:c r="Q23" s="2"/>
    </x:row>
    <x:row r="24">
      <x:c r="A24" s="2" t="str">
        <x:v>Available stress-case power</x:v>
      </x:c>
      <x:c r="B24" s="2" t="n">
        <x:f>'Load Auction'!B4</x:f>
        <x:v>14</x:v>
      </x:c>
      <x:c r="C24" s="2" t="str">
        <x:v>kW</x:v>
      </x:c>
      <x:c r="D24" s="2" t="str">
        <x:v>Editable</x:v>
      </x:c>
      <x:c r="E24" s="2"/>
      <x:c r="F24" s="2" t="str">
        <x:v>Conservative illumination</x:v>
      </x:c>
      <x:c r="G24" s="65" t="n">
        <x:v>0.7</x:v>
      </x:c>
      <x:c r="H24" s="2" t="str">
        <x:v>fraction</x:v>
      </x:c>
      <x:c r="I24" s="2" t="str">
        <x:v>Stress</x:v>
      </x:c>
      <x:c r="J24" s="2"/>
      <x:c r="K24" s="2"/>
      <x:c r="L24" s="2"/>
      <x:c r="M24" s="2"/>
      <x:c r="N24" s="2"/>
      <x:c r="O24" s="2"/>
      <x:c r="P24" s="2"/>
      <x:c r="Q24" s="2"/>
    </x:row>
    <x:row r="25">
      <x:c r="A25" s="2" t="str">
        <x:v>Deficit</x:v>
      </x:c>
      <x:c r="B25" s="2" t="n">
        <x:f>'Load Auction'!B6</x:f>
        <x:v>0</x:v>
      </x:c>
      <x:c r="C25" s="2" t="str">
        <x:v>kW</x:v>
      </x:c>
      <x:c r="D25" s="2" t="str">
        <x:v>Model</x:v>
      </x:c>
      <x:c r="E25" s="2"/>
      <x:c r="F25" s="2" t="str">
        <x:v>Distributed high-point case</x:v>
      </x:c>
      <x:c r="G25" s="65" t="n">
        <x:v>0.9</x:v>
      </x:c>
      <x:c r="H25" s="2" t="str">
        <x:v>fraction</x:v>
      </x:c>
      <x:c r="I25" s="2" t="str">
        <x:v>Planning</x:v>
      </x:c>
      <x:c r="J25" s="2"/>
      <x:c r="K25" s="2"/>
      <x:c r="L25" s="2"/>
      <x:c r="M25" s="2"/>
      <x:c r="N25" s="2"/>
      <x:c r="O25" s="2"/>
      <x:c r="P25" s="2"/>
      <x:c r="Q25" s="2"/>
    </x:row>
    <x:row r="26">
      <x:c r="A26" s="2" t="str">
        <x:v>Tier 0 minimum</x:v>
      </x:c>
      <x:c r="B26" s="2" t="n">
        <x:f>'Load Auction'!B7</x:f>
        <x:v>5.65</x:v>
      </x:c>
      <x:c r="C26" s="2" t="str">
        <x:v>kW</x:v>
      </x:c>
      <x:c r="D26" s="2" t="str">
        <x:v>Hard floor</x:v>
      </x:c>
      <x:c r="E26" s="2"/>
      <x:c r="F26" s="2" t="str">
        <x:v>Nominal dark-interval stress</x:v>
      </x:c>
      <x:c r="G26" s="2" t="n">
        <x:v>60</x:v>
      </x:c>
      <x:c r="H26" s="2" t="str">
        <x:v>h</x:v>
      </x:c>
      <x:c r="I26" s="2" t="str">
        <x:v>Planning</x:v>
      </x:c>
      <x:c r="J26" s="2"/>
      <x:c r="K26" s="2"/>
      <x:c r="L26" s="2"/>
      <x:c r="M26" s="2"/>
      <x:c r="N26" s="2"/>
      <x:c r="O26" s="2"/>
      <x:c r="P26" s="2"/>
      <x:c r="Q26" s="2"/>
    </x:row>
    <x:row r="27">
      <x:c r="A27" s="2" t="str">
        <x:v>Auction system state</x:v>
      </x:c>
      <x:c r="B27" s="2" t="str">
        <x:f>'Load Auction'!B8</x:f>
        <x:v>POWER POSITIVE</x:v>
      </x:c>
      <x:c r="C27" s="2" t="str"/>
      <x:c r="D27" s="2" t="str">
        <x:v>Model</x:v>
      </x:c>
      <x:c r="E27" s="2"/>
      <x:c r="F27" s="2" t="str">
        <x:v>Key implication</x:v>
      </x:c>
      <x:c r="G27" s="2" t="str">
        <x:v>Storage still required</x:v>
      </x:c>
      <x:c r="H27" s="2" t="str"/>
      <x:c r="I27" s="2" t="str">
        <x:v>No site is assumed continuously lit</x:v>
      </x:c>
      <x:c r="J27" s="2"/>
      <x:c r="K27" s="2"/>
      <x:c r="L27" s="2"/>
      <x:c r="M27" s="2"/>
      <x:c r="N27" s="2"/>
      <x:c r="O27" s="2"/>
      <x:c r="P27" s="2"/>
      <x:c r="Q27" s="2"/>
    </x:row>
    <x:row r="28">
      <x:c r="A28" s="2" t="str">
        <x:v>Nominal load served</x:v>
      </x:c>
      <x:c r="B28" s="65" t="n">
        <x:f>MIN(1,B24/B23)</x:f>
        <x:v>1</x:v>
      </x:c>
      <x:c r="C28" s="2" t="str">
        <x:v>%</x:v>
      </x:c>
      <x:c r="D28" s="2" t="str">
        <x:v>Model</x:v>
      </x:c>
      <x:c r="E28" s="2"/>
      <x:c r="F28" s="2" t="str">
        <x:v>VSAT role</x:v>
      </x:c>
      <x:c r="G28" s="2" t="str">
        <x:v>Primary early solar source</x:v>
      </x:c>
      <x:c r="H28" s="2" t="str"/>
      <x:c r="I28" s="2" t="str">
        <x:v>Model as variable source + storage</x:v>
      </x:c>
      <x:c r="J28" s="2"/>
      <x:c r="K28" s="2"/>
      <x:c r="L28" s="2"/>
      <x:c r="M28" s="2"/>
      <x:c r="N28" s="2"/>
      <x:c r="O28" s="2"/>
      <x:c r="P28" s="2"/>
      <x:c r="Q28" s="2"/>
    </x:row>
    <x:row r="29">
      <x:c r="A29" s="2"/>
      <x:c r="B29" s="2"/>
      <x:c r="C29" s="2"/>
      <x:c r="D29" s="2"/>
      <x:c r="E29" s="2"/>
      <x:c r="F29" s="2"/>
      <x:c r="G29" s="2"/>
      <x:c r="H29" s="2"/>
      <x:c r="I29" s="2"/>
      <x:c r="J29" s="2"/>
      <x:c r="K29" s="2"/>
      <x:c r="L29" s="2"/>
      <x:c r="M29" s="2"/>
      <x:c r="N29" s="2"/>
      <x:c r="O29" s="2"/>
      <x:c r="P29" s="2"/>
      <x:c r="Q29" s="2"/>
    </x:row>
    <x:row r="30">
      <x:c r="A30" s="66" t="str">
        <x:v>Deficit-control principle: protect hard life/safety minima, then dynamically allocate remaining power by mission-state bid. Solar-rich Shackleton locations reduce storage demand but do not eliminate the need for storage, fault isolation, or load shedding.</x:v>
      </x:c>
      <x:c r="B30" s="66"/>
      <x:c r="C30" s="66"/>
      <x:c r="D30" s="66"/>
      <x:c r="E30" s="66"/>
      <x:c r="F30" s="66"/>
      <x:c r="G30" s="66"/>
      <x:c r="H30" s="66"/>
      <x:c r="I30" s="66"/>
      <x:c r="J30" s="66"/>
      <x:c r="K30" s="66"/>
      <x:c r="L30" s="66"/>
      <x:c r="M30" s="2"/>
      <x:c r="N30" s="2"/>
      <x:c r="O30" s="2"/>
      <x:c r="P30" s="2"/>
      <x:c r="Q30" s="2"/>
    </x:row>
    <x:row r="31">
      <x:c r="A31" s="2"/>
      <x:c r="B31" s="2"/>
      <x:c r="C31" s="2"/>
      <x:c r="D31" s="2"/>
      <x:c r="E31" s="2"/>
      <x:c r="F31" s="2"/>
      <x:c r="G31" s="2"/>
      <x:c r="H31" s="2"/>
      <x:c r="I31" s="2"/>
      <x:c r="J31" s="2"/>
      <x:c r="K31" s="2"/>
      <x:c r="L31" s="2"/>
      <x:c r="M31" s="2"/>
      <x:c r="N31" s="2"/>
      <x:c r="O31" s="2"/>
      <x:c r="P31" s="2"/>
      <x:c r="Q31" s="2"/>
    </x:row>
    <x:row r="32">
      <x:c r="A32" s="2"/>
      <x:c r="B32" s="2"/>
      <x:c r="C32" s="2"/>
      <x:c r="D32" s="2"/>
      <x:c r="E32" s="2"/>
      <x:c r="F32" s="2"/>
      <x:c r="G32" s="2"/>
      <x:c r="H32" s="2"/>
      <x:c r="I32" s="2"/>
      <x:c r="J32" s="2"/>
      <x:c r="K32" s="2"/>
      <x:c r="L32" s="2"/>
      <x:c r="M32" s="2"/>
      <x:c r="N32" s="2"/>
      <x:c r="O32" s="2"/>
      <x:c r="P32" s="2"/>
      <x:c r="Q32" s="2"/>
    </x:row>
    <x:row r="33">
      <x:c r="A33" s="2"/>
      <x:c r="B33" s="2"/>
      <x:c r="C33" s="2"/>
      <x:c r="D33" s="2"/>
      <x:c r="E33" s="2"/>
      <x:c r="F33" s="2"/>
      <x:c r="G33" s="2"/>
      <x:c r="H33" s="2"/>
      <x:c r="I33" s="2"/>
      <x:c r="J33" s="2"/>
      <x:c r="K33" s="2"/>
      <x:c r="L33" s="2"/>
      <x:c r="M33" s="2"/>
      <x:c r="N33" s="2"/>
      <x:c r="O33" s="2"/>
      <x:c r="P33" s="2"/>
      <x:c r="Q33" s="2"/>
    </x:row>
    <x:row r="34">
      <x:c r="A34" s="2"/>
      <x:c r="B34" s="2"/>
      <x:c r="C34" s="2"/>
      <x:c r="D34" s="2"/>
      <x:c r="E34" s="2"/>
      <x:c r="F34" s="2"/>
      <x:c r="G34" s="2"/>
      <x:c r="H34" s="2"/>
      <x:c r="I34" s="2"/>
      <x:c r="J34" s="2"/>
      <x:c r="K34" s="2"/>
      <x:c r="L34" s="2"/>
      <x:c r="M34" s="2"/>
      <x:c r="N34" s="2"/>
      <x:c r="O34" s="2"/>
      <x:c r="P34" s="2"/>
      <x:c r="Q34" s="2"/>
    </x:row>
    <x:row r="35">
      <x:c r="A35" s="2"/>
      <x:c r="B35" s="2"/>
      <x:c r="C35" s="2"/>
      <x:c r="D35" s="2"/>
      <x:c r="E35" s="2"/>
      <x:c r="F35" s="2"/>
      <x:c r="G35" s="2"/>
      <x:c r="H35" s="2"/>
      <x:c r="I35" s="2"/>
      <x:c r="J35" s="2"/>
      <x:c r="K35" s="2"/>
      <x:c r="L35" s="2"/>
      <x:c r="M35" s="2"/>
      <x:c r="N35" s="2"/>
      <x:c r="O35" s="2"/>
      <x:c r="P35" s="2"/>
      <x:c r="Q35" s="2"/>
    </x:row>
    <x:row r="36">
      <x:c r="A36" s="2"/>
      <x:c r="B36" s="2"/>
      <x:c r="C36" s="2"/>
      <x:c r="D36" s="2"/>
      <x:c r="E36" s="2"/>
      <x:c r="F36" s="2"/>
      <x:c r="G36" s="2"/>
      <x:c r="H36" s="2"/>
      <x:c r="I36" s="2"/>
      <x:c r="J36" s="2"/>
      <x:c r="K36" s="2"/>
      <x:c r="L36" s="2"/>
      <x:c r="M36" s="2"/>
      <x:c r="N36" s="2"/>
      <x:c r="O36" s="2"/>
      <x:c r="P36" s="2"/>
      <x:c r="Q36" s="2"/>
    </x:row>
    <x:row r="37">
      <x:c r="A37" s="2"/>
      <x:c r="B37" s="2"/>
      <x:c r="C37" s="2"/>
      <x:c r="D37" s="2"/>
      <x:c r="E37" s="2"/>
      <x:c r="F37" s="2"/>
      <x:c r="G37" s="2"/>
      <x:c r="H37" s="2"/>
      <x:c r="I37" s="2"/>
      <x:c r="J37" s="2"/>
      <x:c r="K37" s="2"/>
      <x:c r="L37" s="2"/>
      <x:c r="M37" s="2"/>
      <x:c r="N37" s="2"/>
      <x:c r="O37" s="2"/>
      <x:c r="P37" s="2"/>
      <x:c r="Q37" s="2"/>
    </x:row>
    <x:row r="38">
      <x:c r="A38" s="2"/>
      <x:c r="B38" s="2"/>
      <x:c r="C38" s="2"/>
      <x:c r="D38" s="2"/>
      <x:c r="E38" s="2"/>
      <x:c r="F38" s="2"/>
      <x:c r="G38" s="2"/>
      <x:c r="H38" s="2"/>
      <x:c r="I38" s="2"/>
      <x:c r="J38" s="2"/>
      <x:c r="K38" s="2"/>
      <x:c r="L38" s="2"/>
      <x:c r="M38" s="2"/>
      <x:c r="N38" s="2"/>
      <x:c r="O38" s="2"/>
      <x:c r="P38" s="2"/>
      <x:c r="Q38" s="2"/>
    </x:row>
    <x:row r="39">
      <x:c r="A39" s="2"/>
      <x:c r="B39" s="2"/>
      <x:c r="C39" s="2"/>
      <x:c r="D39" s="2"/>
      <x:c r="E39" s="2"/>
      <x:c r="F39" s="2"/>
      <x:c r="G39" s="2"/>
      <x:c r="H39" s="2"/>
      <x:c r="I39" s="2"/>
      <x:c r="J39" s="2"/>
      <x:c r="K39" s="2"/>
      <x:c r="L39" s="2"/>
      <x:c r="M39" s="2"/>
      <x:c r="N39" s="2"/>
      <x:c r="O39" s="2"/>
      <x:c r="P39" s="2"/>
      <x:c r="Q39" s="2"/>
    </x:row>
    <x:row r="40">
      <x:c r="A40" s="2"/>
      <x:c r="B40" s="2"/>
      <x:c r="C40" s="2"/>
      <x:c r="D40" s="2"/>
      <x:c r="E40" s="2"/>
      <x:c r="F40" s="2"/>
      <x:c r="G40" s="2"/>
      <x:c r="H40" s="2"/>
      <x:c r="I40" s="2"/>
      <x:c r="J40" s="2"/>
      <x:c r="K40" s="2"/>
      <x:c r="L40" s="2"/>
      <x:c r="M40" s="2"/>
      <x:c r="N40" s="2"/>
      <x:c r="O40" s="2"/>
      <x:c r="P40" s="2"/>
      <x:c r="Q40" s="2"/>
    </x:row>
  </x:sheetData>
  <x:mergeCells>
    <x:mergeCell ref="A1:L1"/>
    <x:mergeCell ref="A20:L20"/>
    <x:mergeCell ref="A30:L30"/>
  </x:mergeCells>
  <x:conditionalFormatting sqref="B14:B15">
    <x:cfRule type="expression" dxfId="6" priority="1">
      <x:formula>B14&gt;B15</x:formula>
    </x:cfRule>
  </x:conditionalFormatting>
  <x:conditionalFormatting sqref="G16:G16">
    <x:cfRule type="expression" dxfId="7" priority="2">
      <x:formula>G16&gt;0</x:formula>
    </x:cfRule>
  </x:conditionalFormatting>
  <x:conditionalFormatting sqref="B27:B27">
    <x:cfRule type="expression" dxfId="12" priority="3">
      <x:formula>B27="SURVIVAL SHORTFALL"</x:formula>
    </x:cfRule>
    <x:cfRule type="expression" dxfId="13" priority="4">
      <x:formula>B27="CONTROLLED DEFICIT"</x:formula>
    </x:cfRule>
    <x:cfRule type="expression" dxfId="14" priority="5">
      <x:formula>B27="POWER POSITIVE"</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28" hidden="0" customWidth="1"/>
    <x:col min="2" max="2" width="14" hidden="0" customWidth="1"/>
    <x:col min="3" max="3" width="14" hidden="0" customWidth="1"/>
    <x:col min="4" max="4" width="18" hidden="0" customWidth="1"/>
    <x:col min="5" max="5" width="12" hidden="0" customWidth="1"/>
    <x:col min="6" max="6" width="14" hidden="0" customWidth="1"/>
    <x:col min="7" max="7" width="18" hidden="0" customWidth="1"/>
    <x:col min="8" max="8" width="14" hidden="0" customWidth="1"/>
    <x:col min="9" max="9" width="18" hidden="0" customWidth="1"/>
    <x:col min="10" max="10" width="18" hidden="0" customWidth="1"/>
    <x:col min="11" max="11" width="12" hidden="0" customWidth="1"/>
    <x:col min="12" max="12" width="20" hidden="0" customWidth="1"/>
    <x:col min="13" max="13" width="34" hidden="0" customWidth="1"/>
    <x:col min="14" max="14" width="16" hidden="0" customWidth="1"/>
  </x:cols>
  <x:sheetData>
    <x:row r="1">
      <x:c r="A1" s="35" t="str">
        <x:v>Facility-Level Electrical Load Model</x:v>
      </x:c>
      <x:c r="B1" s="35"/>
      <x:c r="C1" s="35"/>
      <x:c r="D1" s="35"/>
      <x:c r="E1" s="35"/>
      <x:c r="F1" s="35"/>
      <x:c r="G1" s="35"/>
      <x:c r="H1" s="35"/>
      <x:c r="I1" s="35"/>
      <x:c r="J1" s="35"/>
      <x:c r="K1" s="35"/>
      <x:c r="L1" s="35"/>
      <x:c r="M1" s="35"/>
      <x:c r="N1" s="35"/>
      <x:c r="O1" s="2"/>
      <x:c r="P1" s="2"/>
      <x:c r="Q1" s="2"/>
    </x:row>
    <x:row r="2">
      <x:c r="A2" s="2"/>
      <x:c r="B2" s="2"/>
      <x:c r="C2" s="2"/>
      <x:c r="D2" s="2"/>
      <x:c r="E2" s="2"/>
      <x:c r="F2" s="2"/>
      <x:c r="G2" s="2"/>
      <x:c r="H2" s="2"/>
      <x:c r="I2" s="2"/>
      <x:c r="J2" s="2"/>
      <x:c r="K2" s="2"/>
      <x:c r="L2" s="2"/>
      <x:c r="M2" s="2"/>
      <x:c r="N2" s="2"/>
      <x:c r="O2" s="2"/>
      <x:c r="P2" s="2"/>
      <x:c r="Q2" s="2"/>
    </x:row>
    <x:row r="3">
      <x:c r="A3" s="36" t="str">
        <x:v>Facility / Load Center</x:v>
      </x:c>
      <x:c r="B3" s="36" t="str">
        <x:v>Priority</x:v>
      </x:c>
      <x:c r="C3" s="36" t="str">
        <x:v>Nom Avg kW (6)</x:v>
      </x:c>
      <x:c r="D3" s="36" t="str">
        <x:v>Handover Avg kW (12)</x:v>
      </x:c>
      <x:c r="E3" s="36" t="str">
        <x:v>Peak Factor</x:v>
      </x:c>
      <x:c r="F3" s="36" t="str">
        <x:v>Nom Peak kW</x:v>
      </x:c>
      <x:c r="G3" s="36" t="str">
        <x:v>Handover Peak kW</x:v>
      </x:c>
      <x:c r="H3" s="36" t="str">
        <x:v>Daily kWh (6)</x:v>
      </x:c>
      <x:c r="I3" s="36" t="str">
        <x:v>Daily kWh (12)</x:v>
      </x:c>
      <x:c r="J3" s="36" t="str">
        <x:v>Bus</x:v>
      </x:c>
      <x:c r="K3" s="36" t="str">
        <x:v>Expandable?</x:v>
      </x:c>
      <x:c r="L3" s="36" t="str">
        <x:v>Basis</x:v>
      </x:c>
      <x:c r="M3" s="36" t="str">
        <x:v>Notes</x:v>
      </x:c>
      <x:c r="N3" s="36" t="str">
        <x:v>Thermal Flag</x:v>
      </x:c>
      <x:c r="O3" s="2"/>
      <x:c r="P3" s="2"/>
      <x:c r="Q3" s="2"/>
    </x:row>
    <x:row r="4">
      <x:c r="A4" s="2" t="str">
        <x:v>Habitation + ECLSS</x:v>
      </x:c>
      <x:c r="B4" s="2" t="str">
        <x:v>Critical</x:v>
      </x:c>
      <x:c r="C4" s="20" t="n">
        <x:v>4.6</x:v>
      </x:c>
      <x:c r="D4" s="20" t="n">
        <x:v>6.4</x:v>
      </x:c>
      <x:c r="E4" s="20" t="n">
        <x:v>1.35</x:v>
      </x:c>
      <x:c r="F4" s="20" t="n">
        <x:f>C4*E4</x:f>
        <x:v>6.21</x:v>
      </x:c>
      <x:c r="G4" s="20" t="n">
        <x:f>D4*E4</x:f>
        <x:v>8.64</x:v>
      </x:c>
      <x:c r="H4" s="20" t="n">
        <x:f>C4*24</x:f>
        <x:v>110.39999999999999</x:v>
      </x:c>
      <x:c r="I4" s="20" t="n">
        <x:f>D4*24</x:f>
        <x:v>153.60000000000002</x:v>
      </x:c>
      <x:c r="J4" s="2" t="str">
        <x:v>120 VDC local</x:v>
      </x:c>
      <x:c r="K4" s="2" t="str">
        <x:v>Yes</x:v>
      </x:c>
      <x:c r="L4" s="2" t="str">
        <x:v>Engineering allocation</x:v>
      </x:c>
      <x:c r="M4" s="2" t="str">
        <x:v>Air, CO₂, water, hygiene, controls</x:v>
      </x:c>
      <x:c r="N4" s="2" t="str">
        <x:v>High</x:v>
      </x:c>
      <x:c r="O4" s="2"/>
      <x:c r="P4" s="2"/>
      <x:c r="Q4" s="2"/>
    </x:row>
    <x:row r="5">
      <x:c r="A5" s="2" t="str">
        <x:v>Thermal Control</x:v>
      </x:c>
      <x:c r="B5" s="2" t="str">
        <x:v>Critical</x:v>
      </x:c>
      <x:c r="C5" s="20" t="n">
        <x:v>1.8</x:v>
      </x:c>
      <x:c r="D5" s="20" t="n">
        <x:v>2.4</x:v>
      </x:c>
      <x:c r="E5" s="20" t="n">
        <x:v>1.45</x:v>
      </x:c>
      <x:c r="F5" s="20" t="n">
        <x:f>C5*E5</x:f>
        <x:v>2.61</x:v>
      </x:c>
      <x:c r="G5" s="20" t="n">
        <x:f>D5*E5</x:f>
        <x:v>3.48</x:v>
      </x:c>
      <x:c r="H5" s="20" t="n">
        <x:f>C5*24</x:f>
        <x:v>43.2</x:v>
      </x:c>
      <x:c r="I5" s="20" t="n">
        <x:f>D5*24</x:f>
        <x:v>57.599999999999994</x:v>
      </x:c>
      <x:c r="J5" s="2" t="str">
        <x:v>120 VDC local</x:v>
      </x:c>
      <x:c r="K5" s="2" t="str">
        <x:v>Yes</x:v>
      </x:c>
      <x:c r="L5" s="2" t="str">
        <x:v>Engineering allocation</x:v>
      </x:c>
      <x:c r="M5" s="2" t="str">
        <x:v>Pumps, heat rejection controls</x:v>
      </x:c>
      <x:c r="N5" s="2" t="str">
        <x:v>High</x:v>
      </x:c>
      <x:c r="O5" s="2"/>
      <x:c r="P5" s="2"/>
      <x:c r="Q5" s="2"/>
    </x:row>
    <x:row r="6">
      <x:c r="A6" s="2" t="str">
        <x:v>Command / Avionics / PNT</x:v>
      </x:c>
      <x:c r="B6" s="2" t="str">
        <x:v>Critical</x:v>
      </x:c>
      <x:c r="C6" s="20" t="n">
        <x:v>0.7</x:v>
      </x:c>
      <x:c r="D6" s="20" t="n">
        <x:v>0.8</x:v>
      </x:c>
      <x:c r="E6" s="20" t="n">
        <x:v>1.2</x:v>
      </x:c>
      <x:c r="F6" s="20" t="n">
        <x:f>C6*E6</x:f>
        <x:v>0.84</x:v>
      </x:c>
      <x:c r="G6" s="20" t="n">
        <x:f>D6*E6</x:f>
        <x:v>0.96</x:v>
      </x:c>
      <x:c r="H6" s="20" t="n">
        <x:f>C6*24</x:f>
        <x:v>16.799999999999997</x:v>
      </x:c>
      <x:c r="I6" s="20" t="n">
        <x:f>D6*24</x:f>
        <x:v>19.200000000000003</x:v>
      </x:c>
      <x:c r="J6" s="2" t="str">
        <x:v>120/28 VDC</x:v>
      </x:c>
      <x:c r="K6" s="2" t="str">
        <x:v>Yes</x:v>
      </x:c>
      <x:c r="L6" s="2" t="str">
        <x:v>Engineering allocation</x:v>
      </x:c>
      <x:c r="M6" s="2" t="str">
        <x:v>Computing, timing, navigation</x:v>
      </x:c>
      <x:c r="N6" s="2" t="str">
        <x:v>Medium</x:v>
      </x:c>
      <x:c r="O6" s="2"/>
      <x:c r="P6" s="2"/>
      <x:c r="Q6" s="2"/>
    </x:row>
    <x:row r="7">
      <x:c r="A7" s="2" t="str">
        <x:v>Communications</x:v>
      </x:c>
      <x:c r="B7" s="2" t="str">
        <x:v>Critical</x:v>
      </x:c>
      <x:c r="C7" s="20" t="n">
        <x:v>0.8</x:v>
      </x:c>
      <x:c r="D7" s="20" t="n">
        <x:v>1</x:v>
      </x:c>
      <x:c r="E7" s="20" t="n">
        <x:v>1.5</x:v>
      </x:c>
      <x:c r="F7" s="20" t="n">
        <x:f>C7*E7</x:f>
        <x:v>1.2000000000000002</x:v>
      </x:c>
      <x:c r="G7" s="20" t="n">
        <x:f>D7*E7</x:f>
        <x:v>1.5</x:v>
      </x:c>
      <x:c r="H7" s="20" t="n">
        <x:f>C7*24</x:f>
        <x:v>19.200000000000003</x:v>
      </x:c>
      <x:c r="I7" s="20" t="n">
        <x:f>D7*24</x:f>
        <x:v>24</x:v>
      </x:c>
      <x:c r="J7" s="2" t="str">
        <x:v>120/28 VDC</x:v>
      </x:c>
      <x:c r="K7" s="2" t="str">
        <x:v>Yes</x:v>
      </x:c>
      <x:c r="L7" s="2" t="str">
        <x:v>Engineering allocation</x:v>
      </x:c>
      <x:c r="M7" s="2" t="str">
        <x:v>Surface + Earth relay</x:v>
      </x:c>
      <x:c r="N7" s="2" t="str">
        <x:v>Medium</x:v>
      </x:c>
      <x:c r="O7" s="2"/>
      <x:c r="P7" s="2"/>
      <x:c r="Q7" s="2"/>
    </x:row>
    <x:row r="8">
      <x:c r="A8" s="2" t="str">
        <x:v>Lighting / Internal Utility</x:v>
      </x:c>
      <x:c r="B8" s="2" t="str">
        <x:v>Essential</x:v>
      </x:c>
      <x:c r="C8" s="20" t="n">
        <x:v>0.7</x:v>
      </x:c>
      <x:c r="D8" s="20" t="n">
        <x:v>1</x:v>
      </x:c>
      <x:c r="E8" s="20" t="n">
        <x:v>1.5</x:v>
      </x:c>
      <x:c r="F8" s="20" t="n">
        <x:f>C8*E8</x:f>
        <x:v>1.0499999999999998</x:v>
      </x:c>
      <x:c r="G8" s="20" t="n">
        <x:f>D8*E8</x:f>
        <x:v>1.5</x:v>
      </x:c>
      <x:c r="H8" s="20" t="n">
        <x:f>C8*24</x:f>
        <x:v>16.799999999999997</x:v>
      </x:c>
      <x:c r="I8" s="20" t="n">
        <x:f>D8*24</x:f>
        <x:v>24</x:v>
      </x:c>
      <x:c r="J8" s="2" t="str">
        <x:v>120 VDC</x:v>
      </x:c>
      <x:c r="K8" s="2" t="str">
        <x:v>Yes</x:v>
      </x:c>
      <x:c r="L8" s="2" t="str">
        <x:v>Engineering allocation</x:v>
      </x:c>
      <x:c r="M8" s="2" t="str">
        <x:v>Habitable volume lighting</x:v>
      </x:c>
      <x:c r="N8" s="2" t="str">
        <x:v>Low</x:v>
      </x:c>
      <x:c r="O8" s="2"/>
      <x:c r="P8" s="2"/>
      <x:c r="Q8" s="2"/>
    </x:row>
    <x:row r="9">
      <x:c r="A9" s="2" t="str">
        <x:v>Galley / Food / Hygiene</x:v>
      </x:c>
      <x:c r="B9" s="2" t="str">
        <x:v>Essential</x:v>
      </x:c>
      <x:c r="C9" s="20" t="n">
        <x:v>0.65</x:v>
      </x:c>
      <x:c r="D9" s="20" t="n">
        <x:v>1.4</x:v>
      </x:c>
      <x:c r="E9" s="20" t="n">
        <x:v>2.5</x:v>
      </x:c>
      <x:c r="F9" s="20" t="n">
        <x:f>C9*E9</x:f>
        <x:v>1.625</x:v>
      </x:c>
      <x:c r="G9" s="20" t="n">
        <x:f>D9*E9</x:f>
        <x:v>3.5</x:v>
      </x:c>
      <x:c r="H9" s="20" t="n">
        <x:f>C9*24</x:f>
        <x:v>15.600000000000001</x:v>
      </x:c>
      <x:c r="I9" s="20" t="n">
        <x:f>D9*24</x:f>
        <x:v>33.599999999999994</x:v>
      </x:c>
      <x:c r="J9" s="2" t="str">
        <x:v>120 VDC</x:v>
      </x:c>
      <x:c r="K9" s="2" t="str">
        <x:v>Yes</x:v>
      </x:c>
      <x:c r="L9" s="2" t="str">
        <x:v>Engineering allocation</x:v>
      </x:c>
      <x:c r="M9" s="2" t="str">
        <x:v>High peak, low duty cycle</x:v>
      </x:c>
      <x:c r="N9" s="2" t="str">
        <x:v>Medium</x:v>
      </x:c>
      <x:c r="O9" s="2"/>
      <x:c r="P9" s="2"/>
      <x:c r="Q9" s="2"/>
    </x:row>
    <x:row r="10">
      <x:c r="A10" s="2" t="str">
        <x:v>Science / Laboratory</x:v>
      </x:c>
      <x:c r="B10" s="2" t="str">
        <x:v>Discretionary</x:v>
      </x:c>
      <x:c r="C10" s="20" t="n">
        <x:v>0.8</x:v>
      </x:c>
      <x:c r="D10" s="20" t="n">
        <x:v>1</x:v>
      </x:c>
      <x:c r="E10" s="20" t="n">
        <x:v>1.75</x:v>
      </x:c>
      <x:c r="F10" s="20" t="n">
        <x:f>C10*E10</x:f>
        <x:v>1.4000000000000001</x:v>
      </x:c>
      <x:c r="G10" s="20" t="n">
        <x:f>D10*E10</x:f>
        <x:v>1.75</x:v>
      </x:c>
      <x:c r="H10" s="20" t="n">
        <x:f>C10*24</x:f>
        <x:v>19.200000000000003</x:v>
      </x:c>
      <x:c r="I10" s="20" t="n">
        <x:f>D10*24</x:f>
        <x:v>24</x:v>
      </x:c>
      <x:c r="J10" s="2" t="str">
        <x:v>120 VDC</x:v>
      </x:c>
      <x:c r="K10" s="2" t="str">
        <x:v>Yes</x:v>
      </x:c>
      <x:c r="L10" s="2" t="str">
        <x:v>Engineering allocation</x:v>
      </x:c>
      <x:c r="M10" s="2" t="str">
        <x:v>Mission variable</x:v>
      </x:c>
      <x:c r="N10" s="2" t="str">
        <x:v>Medium</x:v>
      </x:c>
      <x:c r="O10" s="2"/>
      <x:c r="P10" s="2"/>
      <x:c r="Q10" s="2"/>
    </x:row>
    <x:row r="11">
      <x:c r="A11" s="2" t="str">
        <x:v>Rover / EVA Charging</x:v>
      </x:c>
      <x:c r="B11" s="2" t="str">
        <x:v>Essential</x:v>
      </x:c>
      <x:c r="C11" s="20" t="n">
        <x:v>1</x:v>
      </x:c>
      <x:c r="D11" s="20" t="n">
        <x:v>1.5</x:v>
      </x:c>
      <x:c r="E11" s="20" t="n">
        <x:v>2</x:v>
      </x:c>
      <x:c r="F11" s="20" t="n">
        <x:f>C11*E11</x:f>
        <x:v>2</x:v>
      </x:c>
      <x:c r="G11" s="20" t="n">
        <x:f>D11*E11</x:f>
        <x:v>3</x:v>
      </x:c>
      <x:c r="H11" s="20" t="n">
        <x:f>C11*24</x:f>
        <x:v>24</x:v>
      </x:c>
      <x:c r="I11" s="20" t="n">
        <x:f>D11*24</x:f>
        <x:v>36</x:v>
      </x:c>
      <x:c r="J11" s="2" t="str">
        <x:v>120 VDC / HV trunk</x:v>
      </x:c>
      <x:c r="K11" s="2" t="str">
        <x:v>Yes</x:v>
      </x:c>
      <x:c r="L11" s="2" t="str">
        <x:v>Engineering allocation</x:v>
      </x:c>
      <x:c r="M11" s="2" t="str">
        <x:v>Schedulable load</x:v>
      </x:c>
      <x:c r="N11" s="2" t="str">
        <x:v>High</x:v>
      </x:c>
      <x:c r="O11" s="2"/>
      <x:c r="P11" s="2"/>
      <x:c r="Q11" s="2"/>
    </x:row>
    <x:row r="12">
      <x:c r="A12" s="2" t="str">
        <x:v>Logistics / Maintenance</x:v>
      </x:c>
      <x:c r="B12" s="2" t="str">
        <x:v>Discretionary</x:v>
      </x:c>
      <x:c r="C12" s="20" t="n">
        <x:v>0.4</x:v>
      </x:c>
      <x:c r="D12" s="20" t="n">
        <x:v>0.6</x:v>
      </x:c>
      <x:c r="E12" s="20" t="n">
        <x:v>1.75</x:v>
      </x:c>
      <x:c r="F12" s="20" t="n">
        <x:f>C12*E12</x:f>
        <x:v>0.7000000000000001</x:v>
      </x:c>
      <x:c r="G12" s="20" t="n">
        <x:f>D12*E12</x:f>
        <x:v>1.05</x:v>
      </x:c>
      <x:c r="H12" s="20" t="n">
        <x:f>C12*24</x:f>
        <x:v>9.600000000000001</x:v>
      </x:c>
      <x:c r="I12" s="20" t="n">
        <x:f>D12*24</x:f>
        <x:v>14.399999999999999</x:v>
      </x:c>
      <x:c r="J12" s="2" t="str">
        <x:v>120 VDC</x:v>
      </x:c>
      <x:c r="K12" s="2" t="str">
        <x:v>Yes</x:v>
      </x:c>
      <x:c r="L12" s="2" t="str">
        <x:v>Engineering allocation</x:v>
      </x:c>
      <x:c r="M12" s="2" t="str">
        <x:v>Tools and spares</x:v>
      </x:c>
      <x:c r="N12" s="2" t="str">
        <x:v>Medium</x:v>
      </x:c>
      <x:c r="O12" s="2"/>
      <x:c r="P12" s="2"/>
      <x:c r="Q12" s="2"/>
    </x:row>
    <x:row r="13">
      <x:c r="A13" s="2" t="str">
        <x:v>Plant Module - initial</x:v>
      </x:c>
      <x:c r="B13" s="2" t="str">
        <x:v>Essential</x:v>
      </x:c>
      <x:c r="C13" s="20" t="n">
        <x:v>0.75</x:v>
      </x:c>
      <x:c r="D13" s="20" t="n">
        <x:v>0.75</x:v>
      </x:c>
      <x:c r="E13" s="20" t="n">
        <x:v>1.3</x:v>
      </x:c>
      <x:c r="F13" s="20" t="n">
        <x:f>C13*E13</x:f>
        <x:v>0.9750000000000001</x:v>
      </x:c>
      <x:c r="G13" s="20" t="n">
        <x:f>D13*E13</x:f>
        <x:v>0.9750000000000001</x:v>
      </x:c>
      <x:c r="H13" s="20" t="n">
        <x:f>C13*24</x:f>
        <x:v>18</x:v>
      </x:c>
      <x:c r="I13" s="20" t="n">
        <x:f>D13*24</x:f>
        <x:v>18</x:v>
      </x:c>
      <x:c r="J13" s="2" t="str">
        <x:v>120 VDC local</x:v>
      </x:c>
      <x:c r="K13" s="2" t="str">
        <x:v>Yes</x:v>
      </x:c>
      <x:c r="L13" s="2" t="str">
        <x:v>Derived separately</x:v>
      </x:c>
      <x:c r="M13" s="2" t="str">
        <x:v>Pumps/fans/controls</x:v>
      </x:c>
      <x:c r="N13" s="2" t="str">
        <x:v>High</x:v>
      </x:c>
      <x:c r="O13" s="2"/>
      <x:c r="P13" s="2"/>
      <x:c r="Q13" s="2"/>
    </x:row>
    <x:row r="14">
      <x:c r="A14" s="2" t="str">
        <x:v>Plant Lighting - net electric</x:v>
      </x:c>
      <x:c r="B14" s="2" t="str">
        <x:v>Discretionary</x:v>
      </x:c>
      <x:c r="C14" s="20" t="n">
        <x:v>0.3</x:v>
      </x:c>
      <x:c r="D14" s="20" t="n">
        <x:v>0.3</x:v>
      </x:c>
      <x:c r="E14" s="20" t="n">
        <x:v>1.1</x:v>
      </x:c>
      <x:c r="F14" s="20" t="n">
        <x:f>C14*E14</x:f>
        <x:v>0.33</x:v>
      </x:c>
      <x:c r="G14" s="20" t="n">
        <x:f>D14*E14</x:f>
        <x:v>0.33</x:v>
      </x:c>
      <x:c r="H14" s="20" t="n">
        <x:f>C14*24</x:f>
        <x:v>7.199999999999999</x:v>
      </x:c>
      <x:c r="I14" s="20" t="n">
        <x:f>D14*24</x:f>
        <x:v>7.199999999999999</x:v>
      </x:c>
      <x:c r="J14" s="2" t="str">
        <x:v>120 VDC local</x:v>
      </x:c>
      <x:c r="K14" s="2" t="str">
        <x:v>Yes</x:v>
      </x:c>
      <x:c r="L14" s="2" t="str">
        <x:v>Placeholder concept</x:v>
      </x:c>
      <x:c r="M14" s="2" t="str">
        <x:v>Daylight offset target</x:v>
      </x:c>
      <x:c r="N14" s="2" t="str">
        <x:v>High</x:v>
      </x:c>
      <x:c r="O14" s="2"/>
      <x:c r="P14" s="2"/>
      <x:c r="Q14" s="2"/>
    </x:row>
    <x:row r="15">
      <x:c r="A15" s="2" t="str">
        <x:v>ISRU / Construction Pilot</x:v>
      </x:c>
      <x:c r="B15" s="2" t="str">
        <x:v>Discretionary</x:v>
      </x:c>
      <x:c r="C15" s="20" t="n">
        <x:v>0</x:v>
      </x:c>
      <x:c r="D15" s="20" t="n">
        <x:v>0</x:v>
      </x:c>
      <x:c r="E15" s="20" t="n">
        <x:v>3</x:v>
      </x:c>
      <x:c r="F15" s="20" t="n">
        <x:f>C15*E15</x:f>
        <x:v>0</x:v>
      </x:c>
      <x:c r="G15" s="20" t="n">
        <x:f>D15*E15</x:f>
        <x:v>0</x:v>
      </x:c>
      <x:c r="H15" s="20" t="n">
        <x:f>C15*24</x:f>
        <x:v>0</x:v>
      </x:c>
      <x:c r="I15" s="20" t="n">
        <x:f>D15*24</x:f>
        <x:v>0</x:v>
      </x:c>
      <x:c r="J15" s="2" t="str">
        <x:v>HV trunk/local converter</x:v>
      </x:c>
      <x:c r="K15" s="2" t="str">
        <x:v>Yes</x:v>
      </x:c>
      <x:c r="L15" s="2" t="str">
        <x:v>Engineering allocation</x:v>
      </x:c>
      <x:c r="M15" s="2" t="str">
        <x:v>Run when generation margin permits</x:v>
      </x:c>
      <x:c r="N15" s="2" t="str">
        <x:v>High</x:v>
      </x:c>
      <x:c r="O15" s="2"/>
      <x:c r="P15" s="2"/>
      <x:c r="Q15" s="2"/>
    </x:row>
    <x:row r="16">
      <x:c r="A16" s="2" t="str">
        <x:v>Reserve / Growth Allowance</x:v>
      </x:c>
      <x:c r="B16" s="2" t="str">
        <x:v>Essential</x:v>
      </x:c>
      <x:c r="C16" s="20" t="n">
        <x:v>0</x:v>
      </x:c>
      <x:c r="D16" s="20" t="n">
        <x:v>0.35</x:v>
      </x:c>
      <x:c r="E16" s="20" t="n">
        <x:v>1</x:v>
      </x:c>
      <x:c r="F16" s="20" t="n">
        <x:f>C16*E16</x:f>
        <x:v>0</x:v>
      </x:c>
      <x:c r="G16" s="20" t="n">
        <x:f>D16*E16</x:f>
        <x:v>0.35</x:v>
      </x:c>
      <x:c r="H16" s="20" t="n">
        <x:f>C16*24</x:f>
        <x:v>0</x:v>
      </x:c>
      <x:c r="I16" s="20" t="n">
        <x:f>D16*24</x:f>
        <x:v>8.399999999999999</x:v>
      </x:c>
      <x:c r="J16" s="2" t="str">
        <x:v>Any</x:v>
      </x:c>
      <x:c r="K16" s="2" t="str">
        <x:v>Yes</x:v>
      </x:c>
      <x:c r="L16" s="2" t="str">
        <x:v>Balancing allowance</x:v>
      </x:c>
      <x:c r="M16" s="2" t="str">
        <x:v>Handover-only reserve</x:v>
      </x:c>
      <x:c r="N16" s="2" t="str">
        <x:v>Low</x:v>
      </x:c>
      <x:c r="O16" s="2"/>
      <x:c r="P16" s="2"/>
      <x:c r="Q16" s="2"/>
    </x:row>
    <x:row r="17">
      <x:c r="A17" s="2" t="str">
        <x:v>EM Management System</x:v>
      </x:c>
      <x:c r="B17" s="2" t="str">
        <x:v>Essential</x:v>
      </x:c>
      <x:c r="C17" s="20" t="n">
        <x:v>0</x:v>
      </x:c>
      <x:c r="D17" s="20" t="n">
        <x:v>0</x:v>
      </x:c>
      <x:c r="E17" s="20" t="n">
        <x:v>1.2</x:v>
      </x:c>
      <x:c r="F17" s="20" t="n">
        <x:f>C17*E17</x:f>
        <x:v>0</x:v>
      </x:c>
      <x:c r="G17" s="20" t="n">
        <x:f>D17*E17</x:f>
        <x:v>0</x:v>
      </x:c>
      <x:c r="H17" s="20" t="n">
        <x:f>C17*24</x:f>
        <x:v>0</x:v>
      </x:c>
      <x:c r="I17" s="20" t="n">
        <x:f>D17*24</x:f>
        <x:v>0</x:v>
      </x:c>
      <x:c r="J17" s="2" t="str">
        <x:v>120 VDC local</x:v>
      </x:c>
      <x:c r="K17" s="2" t="str">
        <x:v>Yes</x:v>
      </x:c>
      <x:c r="L17" s="2" t="str">
        <x:v>TBD from hardware test</x:v>
      </x:c>
      <x:c r="M17" s="2" t="str">
        <x:v>Explicit placeholder; not yet in 12.5 kW baseline</x:v>
      </x:c>
      <x:c r="N17" s="2" t="str">
        <x:v>Medium</x:v>
      </x:c>
      <x:c r="O17" s="2"/>
      <x:c r="P17" s="2"/>
      <x:c r="Q17" s="2"/>
    </x:row>
    <x:row r="18">
      <x:c r="A18" s="2"/>
      <x:c r="B18" s="2"/>
      <x:c r="C18" s="2"/>
      <x:c r="D18" s="2"/>
      <x:c r="E18" s="2"/>
      <x:c r="F18" s="2"/>
      <x:c r="G18" s="2"/>
      <x:c r="H18" s="2"/>
      <x:c r="I18" s="2"/>
      <x:c r="J18" s="2"/>
      <x:c r="K18" s="2"/>
      <x:c r="L18" s="2"/>
      <x:c r="M18" s="2"/>
      <x:c r="N18" s="2"/>
      <x:c r="O18" s="2"/>
      <x:c r="P18" s="2"/>
      <x:c r="Q18" s="2"/>
    </x:row>
    <x:row r="19">
      <x:c r="A19" s="2"/>
      <x:c r="B19" s="2"/>
      <x:c r="C19" s="2"/>
      <x:c r="D19" s="2"/>
      <x:c r="E19" s="2"/>
      <x:c r="F19" s="2"/>
      <x:c r="G19" s="2"/>
      <x:c r="H19" s="2"/>
      <x:c r="I19" s="2"/>
      <x:c r="J19" s="2"/>
      <x:c r="K19" s="2"/>
      <x:c r="L19" s="2"/>
      <x:c r="M19" s="2"/>
      <x:c r="N19" s="2"/>
      <x:c r="O19" s="2"/>
      <x:c r="P19" s="2"/>
      <x:c r="Q19" s="2"/>
    </x:row>
    <x:row r="20">
      <x:c r="A20" s="2"/>
      <x:c r="B20" s="2"/>
      <x:c r="C20" s="2"/>
      <x:c r="D20" s="2"/>
      <x:c r="E20" s="2"/>
      <x:c r="F20" s="2"/>
      <x:c r="G20" s="2"/>
      <x:c r="H20" s="2"/>
      <x:c r="I20" s="2"/>
      <x:c r="J20" s="2"/>
      <x:c r="K20" s="2"/>
      <x:c r="L20" s="2"/>
      <x:c r="M20" s="2"/>
      <x:c r="N20" s="2"/>
      <x:c r="O20" s="2"/>
      <x:c r="P20" s="2"/>
      <x:c r="Q20" s="2"/>
    </x:row>
    <x:row r="21">
      <x:c r="A21" s="2"/>
      <x:c r="B21" s="2"/>
      <x:c r="C21" s="2"/>
      <x:c r="D21" s="2"/>
      <x:c r="E21" s="2"/>
      <x:c r="F21" s="2"/>
      <x:c r="G21" s="2"/>
      <x:c r="H21" s="2"/>
      <x:c r="I21" s="2"/>
      <x:c r="J21" s="2"/>
      <x:c r="K21" s="2"/>
      <x:c r="L21" s="2"/>
      <x:c r="M21" s="2"/>
      <x:c r="N21" s="2"/>
      <x:c r="O21" s="2"/>
      <x:c r="P21" s="2"/>
      <x:c r="Q21" s="2"/>
    </x:row>
    <x:row r="22">
      <x:c r="A22" s="2"/>
      <x:c r="B22" s="2"/>
      <x:c r="C22" s="2"/>
      <x:c r="D22" s="2"/>
      <x:c r="E22" s="2"/>
      <x:c r="F22" s="2"/>
      <x:c r="G22" s="2"/>
      <x:c r="H22" s="2"/>
      <x:c r="I22" s="2"/>
      <x:c r="J22" s="2"/>
      <x:c r="K22" s="2"/>
      <x:c r="L22" s="2"/>
      <x:c r="M22" s="2"/>
      <x:c r="N22" s="2"/>
      <x:c r="O22" s="2"/>
      <x:c r="P22" s="2"/>
      <x:c r="Q22" s="2"/>
    </x:row>
    <x:row r="23">
      <x:c r="A23" s="2"/>
      <x:c r="B23" s="2"/>
      <x:c r="C23" s="2"/>
      <x:c r="D23" s="2"/>
      <x:c r="E23" s="2"/>
      <x:c r="F23" s="2"/>
      <x:c r="G23" s="2"/>
      <x:c r="H23" s="2"/>
      <x:c r="I23" s="2"/>
      <x:c r="J23" s="2"/>
      <x:c r="K23" s="2"/>
      <x:c r="L23" s="2"/>
      <x:c r="M23" s="2"/>
      <x:c r="N23" s="2"/>
      <x:c r="O23" s="2"/>
      <x:c r="P23" s="2"/>
      <x:c r="Q23" s="2"/>
    </x:row>
    <x:row r="24">
      <x:c r="A24" s="2"/>
      <x:c r="B24" s="2"/>
      <x:c r="C24" s="2"/>
      <x:c r="D24" s="2"/>
      <x:c r="E24" s="2"/>
      <x:c r="F24" s="2"/>
      <x:c r="G24" s="2"/>
      <x:c r="H24" s="2"/>
      <x:c r="I24" s="2"/>
      <x:c r="J24" s="2"/>
      <x:c r="K24" s="2"/>
      <x:c r="L24" s="2"/>
      <x:c r="M24" s="2"/>
      <x:c r="N24" s="2"/>
      <x:c r="O24" s="2"/>
      <x:c r="P24" s="2"/>
      <x:c r="Q24" s="2"/>
    </x:row>
    <x:row r="25">
      <x:c r="A25" s="2"/>
      <x:c r="B25" s="2"/>
      <x:c r="C25" s="2"/>
      <x:c r="D25" s="2"/>
      <x:c r="E25" s="2"/>
      <x:c r="F25" s="2"/>
      <x:c r="G25" s="2"/>
      <x:c r="H25" s="2"/>
      <x:c r="I25" s="2"/>
      <x:c r="J25" s="2"/>
      <x:c r="K25" s="2"/>
      <x:c r="L25" s="2"/>
      <x:c r="M25" s="2"/>
      <x:c r="N25" s="2"/>
      <x:c r="O25" s="2"/>
      <x:c r="P25" s="2"/>
      <x:c r="Q25" s="2"/>
    </x:row>
    <x:row r="26">
      <x:c r="A26" s="2"/>
      <x:c r="B26" s="2"/>
      <x:c r="C26" s="2"/>
      <x:c r="D26" s="2"/>
      <x:c r="E26" s="2"/>
      <x:c r="F26" s="2"/>
      <x:c r="G26" s="2"/>
      <x:c r="H26" s="2"/>
      <x:c r="I26" s="2"/>
      <x:c r="J26" s="2"/>
      <x:c r="K26" s="2"/>
      <x:c r="L26" s="2"/>
      <x:c r="M26" s="2"/>
      <x:c r="N26" s="2"/>
      <x:c r="O26" s="2"/>
      <x:c r="P26" s="2"/>
      <x:c r="Q26" s="2"/>
    </x:row>
    <x:row r="27">
      <x:c r="A27" s="2"/>
      <x:c r="B27" s="2"/>
      <x:c r="C27" s="2"/>
      <x:c r="D27" s="2"/>
      <x:c r="E27" s="2"/>
      <x:c r="F27" s="2"/>
      <x:c r="G27" s="2"/>
      <x:c r="H27" s="2"/>
      <x:c r="I27" s="2"/>
      <x:c r="J27" s="2"/>
      <x:c r="K27" s="2"/>
      <x:c r="L27" s="2"/>
      <x:c r="M27" s="2"/>
      <x:c r="N27" s="2"/>
      <x:c r="O27" s="2"/>
      <x:c r="P27" s="2"/>
      <x:c r="Q27" s="2"/>
    </x:row>
    <x:row r="28">
      <x:c r="A28" s="2"/>
      <x:c r="B28" s="2"/>
      <x:c r="C28" s="2"/>
      <x:c r="D28" s="2"/>
      <x:c r="E28" s="2"/>
      <x:c r="F28" s="2"/>
      <x:c r="G28" s="2"/>
      <x:c r="H28" s="2"/>
      <x:c r="I28" s="2"/>
      <x:c r="J28" s="2"/>
      <x:c r="K28" s="2"/>
      <x:c r="L28" s="2"/>
      <x:c r="M28" s="2"/>
      <x:c r="N28" s="2"/>
      <x:c r="O28" s="2"/>
      <x:c r="P28" s="2"/>
      <x:c r="Q28" s="2"/>
    </x:row>
    <x:row r="29">
      <x:c r="A29" s="2"/>
      <x:c r="B29" s="2"/>
      <x:c r="C29" s="2"/>
      <x:c r="D29" s="2"/>
      <x:c r="E29" s="2"/>
      <x:c r="F29" s="2"/>
      <x:c r="G29" s="2"/>
      <x:c r="H29" s="2"/>
      <x:c r="I29" s="2"/>
      <x:c r="J29" s="2"/>
      <x:c r="K29" s="2"/>
      <x:c r="L29" s="2"/>
      <x:c r="M29" s="2"/>
      <x:c r="N29" s="2"/>
      <x:c r="O29" s="2"/>
      <x:c r="P29" s="2"/>
      <x:c r="Q29" s="2"/>
    </x:row>
    <x:row r="30">
      <x:c r="A30" s="2"/>
      <x:c r="B30" s="2"/>
      <x:c r="C30" s="2"/>
      <x:c r="D30" s="2"/>
      <x:c r="E30" s="2"/>
      <x:c r="F30" s="2"/>
      <x:c r="G30" s="2"/>
      <x:c r="H30" s="2"/>
      <x:c r="I30" s="2"/>
      <x:c r="J30" s="2"/>
      <x:c r="K30" s="2"/>
      <x:c r="L30" s="2"/>
      <x:c r="M30" s="2"/>
      <x:c r="N30" s="2"/>
      <x:c r="O30" s="2"/>
      <x:c r="P30" s="2"/>
      <x:c r="Q30" s="2"/>
    </x:row>
    <x:row r="31">
      <x:c r="A31" s="2"/>
      <x:c r="B31" s="2"/>
      <x:c r="C31" s="2"/>
      <x:c r="D31" s="2"/>
      <x:c r="E31" s="2"/>
      <x:c r="F31" s="2"/>
      <x:c r="G31" s="2"/>
      <x:c r="H31" s="2"/>
      <x:c r="I31" s="2"/>
      <x:c r="J31" s="2"/>
      <x:c r="K31" s="2"/>
      <x:c r="L31" s="2"/>
      <x:c r="M31" s="2"/>
      <x:c r="N31" s="2"/>
      <x:c r="O31" s="2"/>
      <x:c r="P31" s="2"/>
      <x:c r="Q31" s="2"/>
    </x:row>
    <x:row r="32">
      <x:c r="A32" s="2"/>
      <x:c r="B32" s="2"/>
      <x:c r="C32" s="2"/>
      <x:c r="D32" s="2"/>
      <x:c r="E32" s="2"/>
      <x:c r="F32" s="2"/>
      <x:c r="G32" s="2"/>
      <x:c r="H32" s="2"/>
      <x:c r="I32" s="2"/>
      <x:c r="J32" s="2"/>
      <x:c r="K32" s="2"/>
      <x:c r="L32" s="2"/>
      <x:c r="M32" s="2"/>
      <x:c r="N32" s="2"/>
      <x:c r="O32" s="2"/>
      <x:c r="P32" s="2"/>
      <x:c r="Q32" s="2"/>
    </x:row>
    <x:row r="33">
      <x:c r="A33" s="2"/>
      <x:c r="B33" s="2"/>
      <x:c r="C33" s="2"/>
      <x:c r="D33" s="2"/>
      <x:c r="E33" s="2"/>
      <x:c r="F33" s="2"/>
      <x:c r="G33" s="2"/>
      <x:c r="H33" s="2"/>
      <x:c r="I33" s="2"/>
      <x:c r="J33" s="2"/>
      <x:c r="K33" s="2"/>
      <x:c r="L33" s="2"/>
      <x:c r="M33" s="2"/>
      <x:c r="N33" s="2"/>
      <x:c r="O33" s="2"/>
      <x:c r="P33" s="2"/>
      <x:c r="Q33" s="2"/>
    </x:row>
    <x:row r="34">
      <x:c r="A34" s="2"/>
      <x:c r="B34" s="2"/>
      <x:c r="C34" s="2"/>
      <x:c r="D34" s="2"/>
      <x:c r="E34" s="2"/>
      <x:c r="F34" s="2"/>
      <x:c r="G34" s="2"/>
      <x:c r="H34" s="2"/>
      <x:c r="I34" s="2"/>
      <x:c r="J34" s="2"/>
      <x:c r="K34" s="2"/>
      <x:c r="L34" s="2"/>
      <x:c r="M34" s="2"/>
      <x:c r="N34" s="2"/>
      <x:c r="O34" s="2"/>
      <x:c r="P34" s="2"/>
      <x:c r="Q34" s="2"/>
    </x:row>
    <x:row r="35">
      <x:c r="A35" s="2"/>
      <x:c r="B35" s="2"/>
      <x:c r="C35" s="2"/>
      <x:c r="D35" s="2"/>
      <x:c r="E35" s="2"/>
      <x:c r="F35" s="2"/>
      <x:c r="G35" s="2"/>
      <x:c r="H35" s="2"/>
      <x:c r="I35" s="2"/>
      <x:c r="J35" s="2"/>
      <x:c r="K35" s="2"/>
      <x:c r="L35" s="2"/>
      <x:c r="M35" s="2"/>
      <x:c r="N35" s="2"/>
      <x:c r="O35" s="2"/>
      <x:c r="P35" s="2"/>
      <x:c r="Q35" s="2"/>
    </x:row>
    <x:row r="36">
      <x:c r="A36" s="2"/>
      <x:c r="B36" s="2"/>
      <x:c r="C36" s="2"/>
      <x:c r="D36" s="2"/>
      <x:c r="E36" s="2"/>
      <x:c r="F36" s="2"/>
      <x:c r="G36" s="2"/>
      <x:c r="H36" s="2"/>
      <x:c r="I36" s="2"/>
      <x:c r="J36" s="2"/>
      <x:c r="K36" s="2"/>
      <x:c r="L36" s="2"/>
      <x:c r="M36" s="2"/>
      <x:c r="N36" s="2"/>
      <x:c r="O36" s="2"/>
      <x:c r="P36" s="2"/>
      <x:c r="Q36" s="2"/>
    </x:row>
    <x:row r="37">
      <x:c r="A37" s="2"/>
      <x:c r="B37" s="2"/>
      <x:c r="C37" s="2"/>
      <x:c r="D37" s="2"/>
      <x:c r="E37" s="2"/>
      <x:c r="F37" s="2"/>
      <x:c r="G37" s="2"/>
      <x:c r="H37" s="2"/>
      <x:c r="I37" s="2"/>
      <x:c r="J37" s="2"/>
      <x:c r="K37" s="2"/>
      <x:c r="L37" s="2"/>
      <x:c r="M37" s="2"/>
      <x:c r="N37" s="2"/>
      <x:c r="O37" s="2"/>
      <x:c r="P37" s="2"/>
      <x:c r="Q37" s="2"/>
    </x:row>
    <x:row r="38">
      <x:c r="A38" s="2"/>
      <x:c r="B38" s="2"/>
      <x:c r="C38" s="2"/>
      <x:c r="D38" s="2"/>
      <x:c r="E38" s="2"/>
      <x:c r="F38" s="2"/>
      <x:c r="G38" s="2"/>
      <x:c r="H38" s="2"/>
      <x:c r="I38" s="2"/>
      <x:c r="J38" s="2"/>
      <x:c r="K38" s="2"/>
      <x:c r="L38" s="2"/>
      <x:c r="M38" s="2"/>
      <x:c r="N38" s="2"/>
      <x:c r="O38" s="2"/>
      <x:c r="P38" s="2"/>
      <x:c r="Q38" s="2"/>
    </x:row>
    <x:row r="39">
      <x:c r="A39" s="2"/>
      <x:c r="B39" s="2"/>
      <x:c r="C39" s="2"/>
      <x:c r="D39" s="2"/>
      <x:c r="E39" s="2"/>
      <x:c r="F39" s="2"/>
      <x:c r="G39" s="2"/>
      <x:c r="H39" s="2"/>
      <x:c r="I39" s="2"/>
      <x:c r="J39" s="2"/>
      <x:c r="K39" s="2"/>
      <x:c r="L39" s="2"/>
      <x:c r="M39" s="2"/>
      <x:c r="N39" s="2"/>
      <x:c r="O39" s="2"/>
      <x:c r="P39" s="2"/>
      <x:c r="Q39" s="2"/>
    </x:row>
    <x:row r="40">
      <x:c r="A40" s="2"/>
      <x:c r="B40" s="2"/>
      <x:c r="C40" s="2"/>
      <x:c r="D40" s="2"/>
      <x:c r="E40" s="2"/>
      <x:c r="F40" s="2"/>
      <x:c r="G40" s="2"/>
      <x:c r="H40" s="2"/>
      <x:c r="I40" s="2"/>
      <x:c r="J40" s="2"/>
      <x:c r="K40" s="2"/>
      <x:c r="L40" s="2"/>
      <x:c r="M40" s="2"/>
      <x:c r="N40" s="2"/>
      <x:c r="O40" s="2"/>
      <x:c r="P40" s="2"/>
      <x:c r="Q40" s="2"/>
    </x:row>
  </x:sheetData>
  <x:mergeCells>
    <x:mergeCell ref="A1:N1"/>
  </x:mergeCells>
  <x:pageMargins left="0.7" right="0.7" top="0.75" bottom="0.75" header="0.3" footer="0.3"/>
</x:worksheet>
</file>

<file path=xl/worksheets/sheet8.xml><?xml version="1.0" encoding="utf-8"?>
<x:worksheet xmlns:x="http://schemas.openxmlformats.org/spreadsheetml/2006/main">
  <x:sheetFormatPr defaultRowHeight="15"/>
  <x:cols>
    <x:col min="1" max="1" width="34" hidden="0" customWidth="1"/>
    <x:col min="2" max="2" width="14" hidden="0" customWidth="1"/>
    <x:col min="3" max="3" width="12" hidden="0" customWidth="1"/>
    <x:col min="4" max="4" width="16" hidden="0" customWidth="1"/>
    <x:col min="5" max="5" width="10" hidden="0" customWidth="1"/>
    <x:col min="6" max="6" width="14" hidden="0" customWidth="1"/>
    <x:col min="7" max="7" width="20" hidden="0" customWidth="1"/>
    <x:col min="8" max="8" width="16" hidden="0" customWidth="1"/>
    <x:col min="9" max="9" width="28" hidden="0" customWidth="1"/>
    <x:col min="10" max="10" width="14" hidden="0" customWidth="1"/>
    <x:col min="11" max="11" width="32" hidden="0" customWidth="1"/>
  </x:cols>
  <x:sheetData>
    <x:row r="1">
      <x:c r="A1" s="35" t="str">
        <x:v>Power Inputs by Architecture Phase</x:v>
      </x:c>
      <x:c r="B1" s="35"/>
      <x:c r="C1" s="35"/>
      <x:c r="D1" s="35"/>
      <x:c r="E1" s="35"/>
      <x:c r="F1" s="35"/>
      <x:c r="G1" s="35"/>
      <x:c r="H1" s="35"/>
      <x:c r="I1" s="35"/>
      <x:c r="J1" s="35"/>
      <x:c r="K1" s="35"/>
      <x:c r="L1" s="2"/>
      <x:c r="M1" s="2"/>
      <x:c r="N1" s="2"/>
      <x:c r="O1" s="2"/>
      <x:c r="P1" s="2"/>
      <x:c r="Q1" s="2"/>
    </x:row>
    <x:row r="2">
      <x:c r="A2" s="2"/>
      <x:c r="B2" s="2"/>
      <x:c r="C2" s="2"/>
      <x:c r="D2" s="2"/>
      <x:c r="E2" s="2"/>
      <x:c r="F2" s="2"/>
      <x:c r="G2" s="2"/>
      <x:c r="H2" s="2"/>
      <x:c r="I2" s="2"/>
      <x:c r="J2" s="2"/>
      <x:c r="K2" s="2"/>
      <x:c r="L2" s="2"/>
      <x:c r="M2" s="2"/>
      <x:c r="N2" s="2"/>
      <x:c r="O2" s="2"/>
      <x:c r="P2" s="2"/>
      <x:c r="Q2" s="2"/>
    </x:row>
    <x:row r="3">
      <x:c r="A3" s="36" t="str">
        <x:v>Source</x:v>
      </x:c>
      <x:c r="B3" s="36" t="str">
        <x:v>Earliest Model Year</x:v>
      </x:c>
      <x:c r="C3" s="36" t="str">
        <x:v>Rated kW</x:v>
      </x:c>
      <x:c r="D3" s="36" t="str">
        <x:v>Firm / Variable</x:v>
      </x:c>
      <x:c r="E3" s="36" t="str">
        <x:v>Count</x:v>
      </x:c>
      <x:c r="F3" s="36" t="str">
        <x:v>Installed kW</x:v>
      </x:c>
      <x:c r="G3" s="36" t="str">
        <x:v>Capacity Factor / Availability</x:v>
      </x:c>
      <x:c r="H3" s="36" t="str">
        <x:v>Expected Avg kW</x:v>
      </x:c>
      <x:c r="I3" s="36" t="str">
        <x:v>Role</x:v>
      </x:c>
      <x:c r="J3" s="36" t="str">
        <x:v>Base Case?</x:v>
      </x:c>
      <x:c r="K3" s="36" t="str">
        <x:v>Basis</x:v>
      </x:c>
      <x:c r="L3" s="2"/>
      <x:c r="M3" s="2"/>
      <x:c r="N3" s="2"/>
      <x:c r="O3" s="2"/>
      <x:c r="P3" s="2"/>
      <x:c r="Q3" s="2"/>
    </x:row>
    <x:row r="4">
      <x:c r="A4" s="2" t="str">
        <x:v>10 kW VSAT-class vertical solar array</x:v>
      </x:c>
      <x:c r="B4" s="2" t="n">
        <x:v>2028</x:v>
      </x:c>
      <x:c r="C4" s="2" t="n">
        <x:v>10</x:v>
      </x:c>
      <x:c r="D4" s="2" t="str">
        <x:v>Variable</x:v>
      </x:c>
      <x:c r="E4" s="2" t="n">
        <x:v>2</x:v>
      </x:c>
      <x:c r="F4" s="2" t="n">
        <x:v>20</x:v>
      </x:c>
      <x:c r="G4" s="2" t="n">
        <x:v>0.7</x:v>
      </x:c>
      <x:c r="H4" s="2" t="n">
        <x:v>14</x:v>
      </x:c>
      <x:c r="I4" s="2" t="str">
        <x:v>Early solar/local generation</x:v>
      </x:c>
      <x:c r="J4" s="2" t="str">
        <x:v>Yes</x:v>
      </x:c>
      <x:c r="K4" s="2" t="str">
        <x:v>NASA TechPort planning reference</x:v>
      </x:c>
      <x:c r="L4" s="2"/>
      <x:c r="M4" s="2"/>
      <x:c r="N4" s="2"/>
      <x:c r="O4" s="2"/>
      <x:c r="P4" s="2"/>
      <x:c r="Q4" s="2"/>
    </x:row>
    <x:row r="5">
      <x:c r="A5" s="2" t="str">
        <x:v>Battery / regenerative storage</x:v>
      </x:c>
      <x:c r="B5" s="2" t="n">
        <x:v>2027</x:v>
      </x:c>
      <x:c r="C5" s="2" t="n">
        <x:v>0</x:v>
      </x:c>
      <x:c r="D5" s="2" t="str">
        <x:v>Storage</x:v>
      </x:c>
      <x:c r="E5" s="2" t="n">
        <x:v>1</x:v>
      </x:c>
      <x:c r="F5" s="2" t="n">
        <x:v>0</x:v>
      </x:c>
      <x:c r="G5" s="2" t="n">
        <x:v>0</x:v>
      </x:c>
      <x:c r="H5" s="2" t="n">
        <x:v>0</x:v>
      </x:c>
      <x:c r="I5" s="2" t="str">
        <x:v>Ride-through / peak shaving</x:v>
      </x:c>
      <x:c r="J5" s="2" t="str">
        <x:v>Yes</x:v>
      </x:c>
      <x:c r="K5" s="2" t="str">
        <x:v>Capacity from storage model</x:v>
      </x:c>
      <x:c r="L5" s="2"/>
      <x:c r="M5" s="2"/>
      <x:c r="N5" s="2"/>
      <x:c r="O5" s="2"/>
      <x:c r="P5" s="2"/>
      <x:c r="Q5" s="2"/>
    </x:row>
    <x:row r="6">
      <x:c r="A6" s="2" t="str">
        <x:v>Thermal bank / regolith store</x:v>
      </x:c>
      <x:c r="B6" s="2" t="n">
        <x:v>2027</x:v>
      </x:c>
      <x:c r="C6" s="2" t="n">
        <x:v>0</x:v>
      </x:c>
      <x:c r="D6" s="2" t="str">
        <x:v>Thermal storage</x:v>
      </x:c>
      <x:c r="E6" s="2" t="n">
        <x:v>1</x:v>
      </x:c>
      <x:c r="F6" s="2" t="n">
        <x:v>0</x:v>
      </x:c>
      <x:c r="G6" s="2" t="n">
        <x:v>0</x:v>
      </x:c>
      <x:c r="H6" s="2" t="n">
        <x:v>0</x:v>
      </x:c>
      <x:c r="I6" s="2" t="str">
        <x:v>Waste-heat banking</x:v>
      </x:c>
      <x:c r="J6" s="2" t="str">
        <x:v>Yes</x:v>
      </x:c>
      <x:c r="K6" s="2" t="str">
        <x:v>LOGIC architecture concept</x:v>
      </x:c>
      <x:c r="L6" s="2"/>
      <x:c r="M6" s="2"/>
      <x:c r="N6" s="2"/>
      <x:c r="O6" s="2"/>
      <x:c r="P6" s="2"/>
      <x:c r="Q6" s="2"/>
    </x:row>
    <x:row r="7">
      <x:c r="A7" s="2" t="str">
        <x:v>Lunar Reactor-1 / 40 kW-class FSP</x:v>
      </x:c>
      <x:c r="B7" s="2" t="n">
        <x:v>2030</x:v>
      </x:c>
      <x:c r="C7" s="2" t="n">
        <x:v>40</x:v>
      </x:c>
      <x:c r="D7" s="2" t="str">
        <x:v>Firm</x:v>
      </x:c>
      <x:c r="E7" s="2" t="n">
        <x:v>1</x:v>
      </x:c>
      <x:c r="F7" s="2" t="n">
        <x:v>40</x:v>
      </x:c>
      <x:c r="G7" s="2" t="n">
        <x:v>0.95</x:v>
      </x:c>
      <x:c r="H7" s="2" t="n">
        <x:v>38</x:v>
      </x:c>
      <x:c r="I7" s="2" t="str">
        <x:v>Baseload/night/shadow survival</x:v>
      </x:c>
      <x:c r="J7" s="2" t="str">
        <x:v>Phase-dependent</x:v>
      </x:c>
      <x:c r="K7" s="2" t="str">
        <x:v>NASA/DOE 40 kW-class reference</x:v>
      </x:c>
      <x:c r="L7" s="2"/>
      <x:c r="M7" s="2"/>
      <x:c r="N7" s="2"/>
      <x:c r="O7" s="2"/>
      <x:c r="P7" s="2"/>
      <x:c r="Q7" s="2"/>
    </x:row>
    <x:row r="8">
      <x:c r="A8" s="2" t="str">
        <x:v>50 kW-class vertical solar array</x:v>
      </x:c>
      <x:c r="B8" s="2" t="n">
        <x:v>2032</x:v>
      </x:c>
      <x:c r="C8" s="2" t="n">
        <x:v>50</x:v>
      </x:c>
      <x:c r="D8" s="2" t="str">
        <x:v>Variable</x:v>
      </x:c>
      <x:c r="E8" s="2" t="n">
        <x:v>1</x:v>
      </x:c>
      <x:c r="F8" s="2" t="n">
        <x:v>50</x:v>
      </x:c>
      <x:c r="G8" s="2" t="n">
        <x:v>0.7</x:v>
      </x:c>
      <x:c r="H8" s="2" t="n">
        <x:v>35</x:v>
      </x:c>
      <x:c r="I8" s="2" t="str">
        <x:v>Expansion solar</x:v>
      </x:c>
      <x:c r="J8" s="2" t="str">
        <x:v>No early</x:v>
      </x:c>
      <x:c r="K8" s="2" t="str">
        <x:v>NASA technology path</x:v>
      </x:c>
      <x:c r="L8" s="2"/>
      <x:c r="M8" s="2"/>
      <x:c r="N8" s="2"/>
      <x:c r="O8" s="2"/>
      <x:c r="P8" s="2"/>
      <x:c r="Q8" s="2"/>
    </x:row>
    <x:row r="9">
      <x:c r="A9" s="2" t="str">
        <x:v>Partner/commercial microreactor</x:v>
      </x:c>
      <x:c r="B9" s="2" t="n">
        <x:v>2032</x:v>
      </x:c>
      <x:c r="C9" s="2" t="n">
        <x:v>0</x:v>
      </x:c>
      <x:c r="D9" s="2" t="str">
        <x:v>Firm</x:v>
      </x:c>
      <x:c r="E9" s="2" t="n">
        <x:v>0</x:v>
      </x:c>
      <x:c r="F9" s="2" t="n">
        <x:v>0</x:v>
      </x:c>
      <x:c r="G9" s="2" t="n">
        <x:v>0.9</x:v>
      </x:c>
      <x:c r="H9" s="2" t="n">
        <x:v>0</x:v>
      </x:c>
      <x:c r="I9" s="2" t="str">
        <x:v>Redundancy / commercial power</x:v>
      </x:c>
      <x:c r="J9" s="2" t="str">
        <x:v>No</x:v>
      </x:c>
      <x:c r="K9" s="2" t="str">
        <x:v>Placeholder</x:v>
      </x:c>
      <x:c r="L9" s="2"/>
      <x:c r="M9" s="2"/>
      <x:c r="N9" s="2"/>
      <x:c r="O9" s="2"/>
      <x:c r="P9" s="2"/>
      <x:c r="Q9" s="2"/>
    </x:row>
    <x:row r="10">
      <x:c r="A10" s="2" t="str">
        <x:v>RPS / radioisotope units</x:v>
      </x:c>
      <x:c r="B10" s="2" t="n">
        <x:v>2028</x:v>
      </x:c>
      <x:c r="C10" s="2" t="n">
        <x:v>0.5</x:v>
      </x:c>
      <x:c r="D10" s="2" t="str">
        <x:v>Firm</x:v>
      </x:c>
      <x:c r="E10" s="2" t="n">
        <x:v>2</x:v>
      </x:c>
      <x:c r="F10" s="2" t="n">
        <x:v>1</x:v>
      </x:c>
      <x:c r="G10" s="2" t="n">
        <x:v>0.95</x:v>
      </x:c>
      <x:c r="H10" s="2" t="n">
        <x:v>0.95</x:v>
      </x:c>
      <x:c r="I10" s="2" t="str">
        <x:v>Remote survival/black start</x:v>
      </x:c>
      <x:c r="J10" s="2" t="str">
        <x:v>Optional</x:v>
      </x:c>
      <x:c r="K10" s="2" t="str">
        <x:v>Mission dependent</x:v>
      </x:c>
      <x:c r="L10" s="2"/>
      <x:c r="M10" s="2"/>
      <x:c r="N10" s="2"/>
      <x:c r="O10" s="2"/>
      <x:c r="P10" s="2"/>
      <x:c r="Q10" s="2"/>
    </x:row>
    <x:row r="11">
      <x:c r="A11" s="2"/>
      <x:c r="B11" s="2"/>
      <x:c r="C11" s="2"/>
      <x:c r="D11" s="2"/>
      <x:c r="E11" s="2"/>
      <x:c r="F11" s="2"/>
      <x:c r="G11" s="2"/>
      <x:c r="H11" s="2"/>
      <x:c r="I11" s="2"/>
      <x:c r="J11" s="2"/>
      <x:c r="K11" s="2"/>
      <x:c r="L11" s="2"/>
      <x:c r="M11" s="2"/>
      <x:c r="N11" s="2"/>
      <x:c r="O11" s="2"/>
      <x:c r="P11" s="2"/>
      <x:c r="Q11" s="2"/>
    </x:row>
    <x:row r="12">
      <x:c r="A12" s="2"/>
      <x:c r="B12" s="2"/>
      <x:c r="C12" s="2"/>
      <x:c r="D12" s="2"/>
      <x:c r="E12" s="2"/>
      <x:c r="F12" s="2"/>
      <x:c r="G12" s="2"/>
      <x:c r="H12" s="2"/>
      <x:c r="I12" s="2"/>
      <x:c r="J12" s="2"/>
      <x:c r="K12" s="2"/>
      <x:c r="L12" s="2"/>
      <x:c r="M12" s="2"/>
      <x:c r="N12" s="2"/>
      <x:c r="O12" s="2"/>
      <x:c r="P12" s="2"/>
      <x:c r="Q12" s="2"/>
    </x:row>
    <x:row r="13">
      <x:c r="A13" s="2"/>
      <x:c r="B13" s="2"/>
      <x:c r="C13" s="2"/>
      <x:c r="D13" s="2"/>
      <x:c r="E13" s="2"/>
      <x:c r="F13" s="2"/>
      <x:c r="G13" s="2"/>
      <x:c r="H13" s="2"/>
      <x:c r="I13" s="2"/>
      <x:c r="J13" s="2"/>
      <x:c r="K13" s="2"/>
      <x:c r="L13" s="2"/>
      <x:c r="M13" s="2"/>
      <x:c r="N13" s="2"/>
      <x:c r="O13" s="2"/>
      <x:c r="P13" s="2"/>
      <x:c r="Q13" s="2"/>
    </x:row>
    <x:row r="14">
      <x:c r="A14" s="2"/>
      <x:c r="B14" s="2"/>
      <x:c r="C14" s="2"/>
      <x:c r="D14" s="2"/>
      <x:c r="E14" s="2"/>
      <x:c r="F14" s="2"/>
      <x:c r="G14" s="2"/>
      <x:c r="H14" s="2"/>
      <x:c r="I14" s="2"/>
      <x:c r="J14" s="2"/>
      <x:c r="K14" s="2"/>
      <x:c r="L14" s="2"/>
      <x:c r="M14" s="2"/>
      <x:c r="N14" s="2"/>
      <x:c r="O14" s="2"/>
      <x:c r="P14" s="2"/>
      <x:c r="Q14" s="2"/>
    </x:row>
    <x:row r="15">
      <x:c r="A15" s="2"/>
      <x:c r="B15" s="2"/>
      <x:c r="C15" s="2"/>
      <x:c r="D15" s="2"/>
      <x:c r="E15" s="2"/>
      <x:c r="F15" s="2"/>
      <x:c r="G15" s="2"/>
      <x:c r="H15" s="2"/>
      <x:c r="I15" s="2"/>
      <x:c r="J15" s="2"/>
      <x:c r="K15" s="2"/>
      <x:c r="L15" s="2"/>
      <x:c r="M15" s="2"/>
      <x:c r="N15" s="2"/>
      <x:c r="O15" s="2"/>
      <x:c r="P15" s="2"/>
      <x:c r="Q15" s="2"/>
    </x:row>
    <x:row r="16">
      <x:c r="A16" s="2"/>
      <x:c r="B16" s="2"/>
      <x:c r="C16" s="2"/>
      <x:c r="D16" s="2"/>
      <x:c r="E16" s="2"/>
      <x:c r="F16" s="2"/>
      <x:c r="G16" s="2"/>
      <x:c r="H16" s="2"/>
      <x:c r="I16" s="2"/>
      <x:c r="J16" s="2"/>
      <x:c r="K16" s="2"/>
      <x:c r="L16" s="2"/>
      <x:c r="M16" s="2"/>
      <x:c r="N16" s="2"/>
      <x:c r="O16" s="2"/>
      <x:c r="P16" s="2"/>
      <x:c r="Q16" s="2"/>
    </x:row>
    <x:row r="17">
      <x:c r="A17" s="2"/>
      <x:c r="B17" s="2"/>
      <x:c r="C17" s="2"/>
      <x:c r="D17" s="2"/>
      <x:c r="E17" s="2"/>
      <x:c r="F17" s="2"/>
      <x:c r="G17" s="2"/>
      <x:c r="H17" s="2"/>
      <x:c r="I17" s="2"/>
      <x:c r="J17" s="2"/>
      <x:c r="K17" s="2"/>
      <x:c r="L17" s="2"/>
      <x:c r="M17" s="2"/>
      <x:c r="N17" s="2"/>
      <x:c r="O17" s="2"/>
      <x:c r="P17" s="2"/>
      <x:c r="Q17" s="2"/>
    </x:row>
    <x:row r="18">
      <x:c r="A18" s="2"/>
      <x:c r="B18" s="2"/>
      <x:c r="C18" s="2"/>
      <x:c r="D18" s="2"/>
      <x:c r="E18" s="2"/>
      <x:c r="F18" s="2"/>
      <x:c r="G18" s="2"/>
      <x:c r="H18" s="2"/>
      <x:c r="I18" s="2"/>
      <x:c r="J18" s="2"/>
      <x:c r="K18" s="2"/>
      <x:c r="L18" s="2"/>
      <x:c r="M18" s="2"/>
      <x:c r="N18" s="2"/>
      <x:c r="O18" s="2"/>
      <x:c r="P18" s="2"/>
      <x:c r="Q18" s="2"/>
    </x:row>
    <x:row r="19">
      <x:c r="A19" s="2"/>
      <x:c r="B19" s="2"/>
      <x:c r="C19" s="2"/>
      <x:c r="D19" s="2"/>
      <x:c r="E19" s="2"/>
      <x:c r="F19" s="2"/>
      <x:c r="G19" s="2"/>
      <x:c r="H19" s="2"/>
      <x:c r="I19" s="2"/>
      <x:c r="J19" s="2"/>
      <x:c r="K19" s="2"/>
      <x:c r="L19" s="2"/>
      <x:c r="M19" s="2"/>
      <x:c r="N19" s="2"/>
      <x:c r="O19" s="2"/>
      <x:c r="P19" s="2"/>
      <x:c r="Q19" s="2"/>
    </x:row>
    <x:row r="20">
      <x:c r="A20" s="2"/>
      <x:c r="B20" s="2"/>
      <x:c r="C20" s="2"/>
      <x:c r="D20" s="2"/>
      <x:c r="E20" s="2"/>
      <x:c r="F20" s="2"/>
      <x:c r="G20" s="2"/>
      <x:c r="H20" s="2"/>
      <x:c r="I20" s="2"/>
      <x:c r="J20" s="2"/>
      <x:c r="K20" s="2"/>
      <x:c r="L20" s="2"/>
      <x:c r="M20" s="2"/>
      <x:c r="N20" s="2"/>
      <x:c r="O20" s="2"/>
      <x:c r="P20" s="2"/>
      <x:c r="Q20" s="2"/>
    </x:row>
    <x:row r="21">
      <x:c r="A21" s="2"/>
      <x:c r="B21" s="2"/>
      <x:c r="C21" s="2"/>
      <x:c r="D21" s="2"/>
      <x:c r="E21" s="2"/>
      <x:c r="F21" s="2"/>
      <x:c r="G21" s="2"/>
      <x:c r="H21" s="2"/>
      <x:c r="I21" s="2"/>
      <x:c r="J21" s="2"/>
      <x:c r="K21" s="2"/>
      <x:c r="L21" s="2"/>
      <x:c r="M21" s="2"/>
      <x:c r="N21" s="2"/>
      <x:c r="O21" s="2"/>
      <x:c r="P21" s="2"/>
      <x:c r="Q21" s="2"/>
    </x:row>
    <x:row r="22">
      <x:c r="A22" s="2"/>
      <x:c r="B22" s="2"/>
      <x:c r="C22" s="2"/>
      <x:c r="D22" s="2"/>
      <x:c r="E22" s="2"/>
      <x:c r="F22" s="2"/>
      <x:c r="G22" s="2"/>
      <x:c r="H22" s="2"/>
      <x:c r="I22" s="2"/>
      <x:c r="J22" s="2"/>
      <x:c r="K22" s="2"/>
      <x:c r="L22" s="2"/>
      <x:c r="M22" s="2"/>
      <x:c r="N22" s="2"/>
      <x:c r="O22" s="2"/>
      <x:c r="P22" s="2"/>
      <x:c r="Q22" s="2"/>
    </x:row>
    <x:row r="23">
      <x:c r="A23" s="2"/>
      <x:c r="B23" s="2"/>
      <x:c r="C23" s="2"/>
      <x:c r="D23" s="2"/>
      <x:c r="E23" s="2"/>
      <x:c r="F23" s="2"/>
      <x:c r="G23" s="2"/>
      <x:c r="H23" s="2"/>
      <x:c r="I23" s="2"/>
      <x:c r="J23" s="2"/>
      <x:c r="K23" s="2"/>
      <x:c r="L23" s="2"/>
      <x:c r="M23" s="2"/>
      <x:c r="N23" s="2"/>
      <x:c r="O23" s="2"/>
      <x:c r="P23" s="2"/>
      <x:c r="Q23" s="2"/>
    </x:row>
    <x:row r="24">
      <x:c r="A24" s="2"/>
      <x:c r="B24" s="2"/>
      <x:c r="C24" s="2"/>
      <x:c r="D24" s="2"/>
      <x:c r="E24" s="2"/>
      <x:c r="F24" s="2"/>
      <x:c r="G24" s="2"/>
      <x:c r="H24" s="2"/>
      <x:c r="I24" s="2"/>
      <x:c r="J24" s="2"/>
      <x:c r="K24" s="2"/>
      <x:c r="L24" s="2"/>
      <x:c r="M24" s="2"/>
      <x:c r="N24" s="2"/>
      <x:c r="O24" s="2"/>
      <x:c r="P24" s="2"/>
      <x:c r="Q24" s="2"/>
    </x:row>
    <x:row r="25">
      <x:c r="A25" s="2"/>
      <x:c r="B25" s="2"/>
      <x:c r="C25" s="2"/>
      <x:c r="D25" s="2"/>
      <x:c r="E25" s="2"/>
      <x:c r="F25" s="2"/>
      <x:c r="G25" s="2"/>
      <x:c r="H25" s="2"/>
      <x:c r="I25" s="2"/>
      <x:c r="J25" s="2"/>
      <x:c r="K25" s="2"/>
      <x:c r="L25" s="2"/>
      <x:c r="M25" s="2"/>
      <x:c r="N25" s="2"/>
      <x:c r="O25" s="2"/>
      <x:c r="P25" s="2"/>
      <x:c r="Q25" s="2"/>
    </x:row>
    <x:row r="26">
      <x:c r="A26" s="2"/>
      <x:c r="B26" s="2"/>
      <x:c r="C26" s="2"/>
      <x:c r="D26" s="2"/>
      <x:c r="E26" s="2"/>
      <x:c r="F26" s="2"/>
      <x:c r="G26" s="2"/>
      <x:c r="H26" s="2"/>
      <x:c r="I26" s="2"/>
      <x:c r="J26" s="2"/>
      <x:c r="K26" s="2"/>
      <x:c r="L26" s="2"/>
      <x:c r="M26" s="2"/>
      <x:c r="N26" s="2"/>
      <x:c r="O26" s="2"/>
      <x:c r="P26" s="2"/>
      <x:c r="Q26" s="2"/>
    </x:row>
    <x:row r="27">
      <x:c r="A27" s="2"/>
      <x:c r="B27" s="2"/>
      <x:c r="C27" s="2"/>
      <x:c r="D27" s="2"/>
      <x:c r="E27" s="2"/>
      <x:c r="F27" s="2"/>
      <x:c r="G27" s="2"/>
      <x:c r="H27" s="2"/>
      <x:c r="I27" s="2"/>
      <x:c r="J27" s="2"/>
      <x:c r="K27" s="2"/>
      <x:c r="L27" s="2"/>
      <x:c r="M27" s="2"/>
      <x:c r="N27" s="2"/>
      <x:c r="O27" s="2"/>
      <x:c r="P27" s="2"/>
      <x:c r="Q27" s="2"/>
    </x:row>
    <x:row r="28">
      <x:c r="A28" s="2"/>
      <x:c r="B28" s="2"/>
      <x:c r="C28" s="2"/>
      <x:c r="D28" s="2"/>
      <x:c r="E28" s="2"/>
      <x:c r="F28" s="2"/>
      <x:c r="G28" s="2"/>
      <x:c r="H28" s="2"/>
      <x:c r="I28" s="2"/>
      <x:c r="J28" s="2"/>
      <x:c r="K28" s="2"/>
      <x:c r="L28" s="2"/>
      <x:c r="M28" s="2"/>
      <x:c r="N28" s="2"/>
      <x:c r="O28" s="2"/>
      <x:c r="P28" s="2"/>
      <x:c r="Q28" s="2"/>
    </x:row>
    <x:row r="29">
      <x:c r="A29" s="2"/>
      <x:c r="B29" s="2"/>
      <x:c r="C29" s="2"/>
      <x:c r="D29" s="2"/>
      <x:c r="E29" s="2"/>
      <x:c r="F29" s="2"/>
      <x:c r="G29" s="2"/>
      <x:c r="H29" s="2"/>
      <x:c r="I29" s="2"/>
      <x:c r="J29" s="2"/>
      <x:c r="K29" s="2"/>
      <x:c r="L29" s="2"/>
      <x:c r="M29" s="2"/>
      <x:c r="N29" s="2"/>
      <x:c r="O29" s="2"/>
      <x:c r="P29" s="2"/>
      <x:c r="Q29" s="2"/>
    </x:row>
    <x:row r="30">
      <x:c r="A30" s="2"/>
      <x:c r="B30" s="2"/>
      <x:c r="C30" s="2"/>
      <x:c r="D30" s="2"/>
      <x:c r="E30" s="2"/>
      <x:c r="F30" s="2"/>
      <x:c r="G30" s="2"/>
      <x:c r="H30" s="2"/>
      <x:c r="I30" s="2"/>
      <x:c r="J30" s="2"/>
      <x:c r="K30" s="2"/>
      <x:c r="L30" s="2"/>
      <x:c r="M30" s="2"/>
      <x:c r="N30" s="2"/>
      <x:c r="O30" s="2"/>
      <x:c r="P30" s="2"/>
      <x:c r="Q30" s="2"/>
    </x:row>
    <x:row r="31">
      <x:c r="A31" s="2"/>
      <x:c r="B31" s="2"/>
      <x:c r="C31" s="2"/>
      <x:c r="D31" s="2"/>
      <x:c r="E31" s="2"/>
      <x:c r="F31" s="2"/>
      <x:c r="G31" s="2"/>
      <x:c r="H31" s="2"/>
      <x:c r="I31" s="2"/>
      <x:c r="J31" s="2"/>
      <x:c r="K31" s="2"/>
      <x:c r="L31" s="2"/>
      <x:c r="M31" s="2"/>
      <x:c r="N31" s="2"/>
      <x:c r="O31" s="2"/>
      <x:c r="P31" s="2"/>
      <x:c r="Q31" s="2"/>
    </x:row>
    <x:row r="32">
      <x:c r="A32" s="2"/>
      <x:c r="B32" s="2"/>
      <x:c r="C32" s="2"/>
      <x:c r="D32" s="2"/>
      <x:c r="E32" s="2"/>
      <x:c r="F32" s="2"/>
      <x:c r="G32" s="2"/>
      <x:c r="H32" s="2"/>
      <x:c r="I32" s="2"/>
      <x:c r="J32" s="2"/>
      <x:c r="K32" s="2"/>
      <x:c r="L32" s="2"/>
      <x:c r="M32" s="2"/>
      <x:c r="N32" s="2"/>
      <x:c r="O32" s="2"/>
      <x:c r="P32" s="2"/>
      <x:c r="Q32" s="2"/>
    </x:row>
    <x:row r="33">
      <x:c r="A33" s="2"/>
      <x:c r="B33" s="2"/>
      <x:c r="C33" s="2"/>
      <x:c r="D33" s="2"/>
      <x:c r="E33" s="2"/>
      <x:c r="F33" s="2"/>
      <x:c r="G33" s="2"/>
      <x:c r="H33" s="2"/>
      <x:c r="I33" s="2"/>
      <x:c r="J33" s="2"/>
      <x:c r="K33" s="2"/>
      <x:c r="L33" s="2"/>
      <x:c r="M33" s="2"/>
      <x:c r="N33" s="2"/>
      <x:c r="O33" s="2"/>
      <x:c r="P33" s="2"/>
      <x:c r="Q33" s="2"/>
    </x:row>
    <x:row r="34">
      <x:c r="A34" s="2"/>
      <x:c r="B34" s="2"/>
      <x:c r="C34" s="2"/>
      <x:c r="D34" s="2"/>
      <x:c r="E34" s="2"/>
      <x:c r="F34" s="2"/>
      <x:c r="G34" s="2"/>
      <x:c r="H34" s="2"/>
      <x:c r="I34" s="2"/>
      <x:c r="J34" s="2"/>
      <x:c r="K34" s="2"/>
      <x:c r="L34" s="2"/>
      <x:c r="M34" s="2"/>
      <x:c r="N34" s="2"/>
      <x:c r="O34" s="2"/>
      <x:c r="P34" s="2"/>
      <x:c r="Q34" s="2"/>
    </x:row>
    <x:row r="35">
      <x:c r="A35" s="2"/>
      <x:c r="B35" s="2"/>
      <x:c r="C35" s="2"/>
      <x:c r="D35" s="2"/>
      <x:c r="E35" s="2"/>
      <x:c r="F35" s="2"/>
      <x:c r="G35" s="2"/>
      <x:c r="H35" s="2"/>
      <x:c r="I35" s="2"/>
      <x:c r="J35" s="2"/>
      <x:c r="K35" s="2"/>
      <x:c r="L35" s="2"/>
      <x:c r="M35" s="2"/>
      <x:c r="N35" s="2"/>
      <x:c r="O35" s="2"/>
      <x:c r="P35" s="2"/>
      <x:c r="Q35" s="2"/>
    </x:row>
    <x:row r="36">
      <x:c r="A36" s="2"/>
      <x:c r="B36" s="2"/>
      <x:c r="C36" s="2"/>
      <x:c r="D36" s="2"/>
      <x:c r="E36" s="2"/>
      <x:c r="F36" s="2"/>
      <x:c r="G36" s="2"/>
      <x:c r="H36" s="2"/>
      <x:c r="I36" s="2"/>
      <x:c r="J36" s="2"/>
      <x:c r="K36" s="2"/>
      <x:c r="L36" s="2"/>
      <x:c r="M36" s="2"/>
      <x:c r="N36" s="2"/>
      <x:c r="O36" s="2"/>
      <x:c r="P36" s="2"/>
      <x:c r="Q36" s="2"/>
    </x:row>
    <x:row r="37">
      <x:c r="A37" s="2"/>
      <x:c r="B37" s="2"/>
      <x:c r="C37" s="2"/>
      <x:c r="D37" s="2"/>
      <x:c r="E37" s="2"/>
      <x:c r="F37" s="2"/>
      <x:c r="G37" s="2"/>
      <x:c r="H37" s="2"/>
      <x:c r="I37" s="2"/>
      <x:c r="J37" s="2"/>
      <x:c r="K37" s="2"/>
      <x:c r="L37" s="2"/>
      <x:c r="M37" s="2"/>
      <x:c r="N37" s="2"/>
      <x:c r="O37" s="2"/>
      <x:c r="P37" s="2"/>
      <x:c r="Q37" s="2"/>
    </x:row>
    <x:row r="38">
      <x:c r="A38" s="2"/>
      <x:c r="B38" s="2"/>
      <x:c r="C38" s="2"/>
      <x:c r="D38" s="2"/>
      <x:c r="E38" s="2"/>
      <x:c r="F38" s="2"/>
      <x:c r="G38" s="2"/>
      <x:c r="H38" s="2"/>
      <x:c r="I38" s="2"/>
      <x:c r="J38" s="2"/>
      <x:c r="K38" s="2"/>
      <x:c r="L38" s="2"/>
      <x:c r="M38" s="2"/>
      <x:c r="N38" s="2"/>
      <x:c r="O38" s="2"/>
      <x:c r="P38" s="2"/>
      <x:c r="Q38" s="2"/>
    </x:row>
    <x:row r="39">
      <x:c r="A39" s="2"/>
      <x:c r="B39" s="2"/>
      <x:c r="C39" s="2"/>
      <x:c r="D39" s="2"/>
      <x:c r="E39" s="2"/>
      <x:c r="F39" s="2"/>
      <x:c r="G39" s="2"/>
      <x:c r="H39" s="2"/>
      <x:c r="I39" s="2"/>
      <x:c r="J39" s="2"/>
      <x:c r="K39" s="2"/>
      <x:c r="L39" s="2"/>
      <x:c r="M39" s="2"/>
      <x:c r="N39" s="2"/>
      <x:c r="O39" s="2"/>
      <x:c r="P39" s="2"/>
      <x:c r="Q39" s="2"/>
    </x:row>
    <x:row r="40">
      <x:c r="A40" s="2"/>
      <x:c r="B40" s="2"/>
      <x:c r="C40" s="2"/>
      <x:c r="D40" s="2"/>
      <x:c r="E40" s="2"/>
      <x:c r="F40" s="2"/>
      <x:c r="G40" s="2"/>
      <x:c r="H40" s="2"/>
      <x:c r="I40" s="2"/>
      <x:c r="J40" s="2"/>
      <x:c r="K40" s="2"/>
      <x:c r="L40" s="2"/>
      <x:c r="M40" s="2"/>
      <x:c r="N40" s="2"/>
      <x:c r="O40" s="2"/>
      <x:c r="P40" s="2"/>
      <x:c r="Q40" s="2"/>
    </x:row>
  </x:sheetData>
  <x:mergeCells>
    <x:mergeCell ref="A1:K1"/>
  </x:mergeCells>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24" hidden="0" customWidth="1"/>
    <x:col min="3" max="3" width="26" hidden="0" customWidth="1"/>
    <x:col min="4" max="4" width="16" hidden="0" customWidth="1"/>
    <x:col min="5" max="5" width="14" hidden="0" customWidth="1"/>
    <x:col min="6" max="6" width="14" hidden="0" customWidth="1"/>
    <x:col min="7" max="7" width="14" hidden="0" customWidth="1"/>
    <x:col min="8" max="8" width="22" hidden="0" customWidth="1"/>
    <x:col min="9" max="9" width="12" hidden="0" customWidth="1"/>
    <x:col min="10" max="10" width="30" hidden="0" customWidth="1"/>
    <x:col min="11" max="11" width="26" hidden="0" customWidth="1"/>
    <x:col min="12" max="12" width="24" hidden="0" customWidth="1"/>
    <x:col min="13" max="13" width="14" hidden="0" customWidth="1"/>
    <x:col min="14" max="14" width="16" hidden="0" customWidth="1"/>
    <x:col min="15" max="15" width="38" hidden="0" customWidth="1"/>
  </x:cols>
  <x:sheetData>
    <x:row r="1">
      <x:c r="A1" s="35" t="str">
        <x:v>Modular Lunar Microgrid — Utility Nodes and Service Points</x:v>
      </x:c>
      <x:c r="B1" s="35"/>
      <x:c r="C1" s="35"/>
      <x:c r="D1" s="35"/>
      <x:c r="E1" s="35"/>
      <x:c r="F1" s="35"/>
      <x:c r="G1" s="35"/>
      <x:c r="H1" s="35"/>
      <x:c r="I1" s="35"/>
      <x:c r="J1" s="35"/>
      <x:c r="K1" s="35"/>
      <x:c r="L1" s="35"/>
      <x:c r="M1" s="35"/>
      <x:c r="N1" s="35"/>
      <x:c r="O1" s="35"/>
      <x:c r="P1" s="2"/>
      <x:c r="Q1" s="2"/>
    </x:row>
    <x:row r="2">
      <x:c r="A2" s="2"/>
      <x:c r="B2" s="2"/>
      <x:c r="C2" s="2"/>
      <x:c r="D2" s="2"/>
      <x:c r="E2" s="2"/>
      <x:c r="F2" s="2"/>
      <x:c r="G2" s="2"/>
      <x:c r="H2" s="2"/>
      <x:c r="I2" s="2"/>
      <x:c r="J2" s="2"/>
      <x:c r="K2" s="2"/>
      <x:c r="L2" s="2"/>
      <x:c r="M2" s="2"/>
      <x:c r="N2" s="2"/>
      <x:c r="O2" s="2"/>
      <x:c r="P2" s="2"/>
      <x:c r="Q2" s="2"/>
    </x:row>
    <x:row r="3">
      <x:c r="A3" s="36" t="str">
        <x:v>Node ID</x:v>
      </x:c>
      <x:c r="B3" s="36" t="str">
        <x:v>Function</x:v>
      </x:c>
      <x:c r="C3" s="36" t="str">
        <x:v>Location Role</x:v>
      </x:c>
      <x:c r="D3" s="36" t="str">
        <x:v>Local Bus</x:v>
      </x:c>
      <x:c r="E3" s="36" t="str">
        <x:v>Trunk Interface</x:v>
      </x:c>
      <x:c r="F3" s="36" t="str">
        <x:v>Converter kW</x:v>
      </x:c>
      <x:c r="G3" s="36" t="str">
        <x:v>Battery kWh</x:v>
      </x:c>
      <x:c r="H3" s="36" t="str">
        <x:v>Service Charger</x:v>
      </x:c>
      <x:c r="I3" s="36" t="str">
        <x:v>Umbilicals</x:v>
      </x:c>
      <x:c r="J3" s="36" t="str">
        <x:v>Critical Loads Served</x:v>
      </x:c>
      <x:c r="K3" s="36" t="str">
        <x:v>Telemetry</x:v>
      </x:c>
      <x:c r="L3" s="36" t="str">
        <x:v>Fault Isolation</x:v>
      </x:c>
      <x:c r="M3" s="36" t="str">
        <x:v>Expansion Ports</x:v>
      </x:c>
      <x:c r="N3" s="36" t="str">
        <x:v>Target Timing</x:v>
      </x:c>
      <x:c r="O3" s="36" t="str">
        <x:v>Design Note</x:v>
      </x:c>
      <x:c r="P3" s="2"/>
      <x:c r="Q3" s="2"/>
    </x:row>
    <x:row r="4">
      <x:c r="A4" s="2" t="str">
        <x:v>UN-01</x:v>
      </x:c>
      <x:c r="B4" s="2" t="str">
        <x:v>Autonomous seed node</x:v>
      </x:c>
      <x:c r="C4" s="2" t="str">
        <x:v>Initial landing / power test</x:v>
      </x:c>
      <x:c r="D4" s="2" t="str">
        <x:v>120 VDC</x:v>
      </x:c>
      <x:c r="E4" s="2" t="str">
        <x:v>HV TBD</x:v>
      </x:c>
      <x:c r="F4" s="2" t="n">
        <x:v>10</x:v>
      </x:c>
      <x:c r="G4" s="2" t="n">
        <x:v>40</x:v>
      </x:c>
      <x:c r="H4" s="2" t="str">
        <x:v>Wired 6 kW</x:v>
      </x:c>
      <x:c r="I4" s="2" t="n">
        <x:v>2</x:v>
      </x:c>
      <x:c r="J4" s="2" t="str">
        <x:v>Comms, sensors, test loads</x:v>
      </x:c>
      <x:c r="K4" s="2" t="str">
        <x:v>V/I/T/SOC/insulation</x:v>
      </x:c>
      <x:c r="L4" s="2" t="str">
        <x:v>Sectionalizing + remote trip</x:v>
      </x:c>
      <x:c r="M4" s="2" t="n">
        <x:v>2</x:v>
      </x:c>
      <x:c r="N4" s="2" t="str">
        <x:v>2027–2028</x:v>
      </x:c>
      <x:c r="O4" s="2" t="str">
        <x:v>First permanent utility node; unattended</x:v>
      </x:c>
      <x:c r="P4" s="2"/>
      <x:c r="Q4" s="2"/>
    </x:row>
    <x:row r="5">
      <x:c r="A5" s="2" t="str">
        <x:v>UN-02</x:v>
      </x:c>
      <x:c r="B5" s="2" t="str">
        <x:v>Vehicle service node</x:v>
      </x:c>
      <x:c r="C5" s="2" t="str">
        <x:v>Rover parking / maintenance</x:v>
      </x:c>
      <x:c r="D5" s="2" t="str">
        <x:v>120 VDC</x:v>
      </x:c>
      <x:c r="E5" s="2" t="str">
        <x:v>HV TBD</x:v>
      </x:c>
      <x:c r="F5" s="2" t="n">
        <x:v>10</x:v>
      </x:c>
      <x:c r="G5" s="2" t="n">
        <x:v>100</x:v>
      </x:c>
      <x:c r="H5" s="2" t="str">
        <x:v>Wired first; wireless later</x:v>
      </x:c>
      <x:c r="I5" s="2" t="n">
        <x:v>4</x:v>
      </x:c>
      <x:c r="J5" s="2" t="str">
        <x:v>Rover charging, tools</x:v>
      </x:c>
      <x:c r="K5" s="2" t="str">
        <x:v>Connector temp/dust state</x:v>
      </x:c>
      <x:c r="L5" s="2" t="str">
        <x:v>Dual feeder preferred</x:v>
      </x:c>
      <x:c r="M5" s="2" t="n">
        <x:v>4</x:v>
      </x:c>
      <x:c r="N5" s="2" t="str">
        <x:v>2028–2030</x:v>
      </x:c>
      <x:c r="O5" s="2" t="str">
        <x:v>Drive-up service spot</x:v>
      </x:c>
      <x:c r="P5" s="2"/>
      <x:c r="Q5" s="2"/>
    </x:row>
    <x:row r="6">
      <x:c r="A6" s="2" t="str">
        <x:v>UN-03</x:v>
      </x:c>
      <x:c r="B6" s="2" t="str">
        <x:v>Mobility / EVA node</x:v>
      </x:c>
      <x:c r="C6" s="2" t="str">
        <x:v>Pressurized rover + EVA zone</x:v>
      </x:c>
      <x:c r="D6" s="2" t="str">
        <x:v>120/28 VDC</x:v>
      </x:c>
      <x:c r="E6" s="2" t="str">
        <x:v>HV TBD</x:v>
      </x:c>
      <x:c r="F6" s="2" t="n">
        <x:v>20</x:v>
      </x:c>
      <x:c r="G6" s="2" t="n">
        <x:v>150</x:v>
      </x:c>
      <x:c r="H6" s="2" t="str">
        <x:v>Wired + proximity demo</x:v>
      </x:c>
      <x:c r="I6" s="2" t="n">
        <x:v>4</x:v>
      </x:c>
      <x:c r="J6" s="2" t="str">
        <x:v>Rover, EVA batteries, comms</x:v>
      </x:c>
      <x:c r="K6" s="2" t="str">
        <x:v>Node health + alignment</x:v>
      </x:c>
      <x:c r="L6" s="2" t="str">
        <x:v>Local breaker + trunk isolation</x:v>
      </x:c>
      <x:c r="M6" s="2" t="n">
        <x:v>4</x:v>
      </x:c>
      <x:c r="N6" s="2" t="str">
        <x:v>2031–2032</x:v>
      </x:c>
      <x:c r="O6" s="2" t="str">
        <x:v>Rover turnaround workflow</x:v>
      </x:c>
      <x:c r="P6" s="2"/>
      <x:c r="Q6" s="2"/>
    </x:row>
    <x:row r="7">
      <x:c r="A7" s="2" t="str">
        <x:v>UN-04</x:v>
      </x:c>
      <x:c r="B7" s="2" t="str">
        <x:v>Habitat critical node</x:v>
      </x:c>
      <x:c r="C7" s="2" t="str">
        <x:v>Habitat cluster</x:v>
      </x:c>
      <x:c r="D7" s="2" t="str">
        <x:v>120/28 VDC</x:v>
      </x:c>
      <x:c r="E7" s="2" t="str">
        <x:v>HV TBD</x:v>
      </x:c>
      <x:c r="F7" s="2" t="n">
        <x:v>25</x:v>
      </x:c>
      <x:c r="G7" s="2" t="n">
        <x:v>200</x:v>
      </x:c>
      <x:c r="H7" s="2" t="str">
        <x:v>Service port</x:v>
      </x:c>
      <x:c r="I7" s="2" t="n">
        <x:v>6</x:v>
      </x:c>
      <x:c r="J7" s="2" t="str">
        <x:v>ECLSS, thermal, C&amp;DH, comms</x:v>
      </x:c>
      <x:c r="K7" s="2" t="str">
        <x:v>Critical-grade telemetry</x:v>
      </x:c>
      <x:c r="L7" s="2" t="str">
        <x:v>N+1 source path goal</x:v>
      </x:c>
      <x:c r="M7" s="2" t="n">
        <x:v>6</x:v>
      </x:c>
      <x:c r="N7" s="2" t="str">
        <x:v>2032–2033</x:v>
      </x:c>
      <x:c r="O7" s="2" t="str">
        <x:v>Shed discretionary branches first</x:v>
      </x:c>
      <x:c r="P7" s="2"/>
      <x:c r="Q7" s="2"/>
    </x:row>
    <x:row r="8">
      <x:c r="A8" s="2" t="str">
        <x:v>UN-05</x:v>
      </x:c>
      <x:c r="B8" s="2" t="str">
        <x:v>Plant / science node</x:v>
      </x:c>
      <x:c r="C8" s="2" t="str">
        <x:v>Plant module / lab</x:v>
      </x:c>
      <x:c r="D8" s="2" t="str">
        <x:v>120 VDC</x:v>
      </x:c>
      <x:c r="E8" s="2" t="str">
        <x:v>HV TBD</x:v>
      </x:c>
      <x:c r="F8" s="2" t="n">
        <x:v>20</x:v>
      </x:c>
      <x:c r="G8" s="2" t="n">
        <x:v>100</x:v>
      </x:c>
      <x:c r="H8" s="2" t="str">
        <x:v>Utility/service port</x:v>
      </x:c>
      <x:c r="I8" s="2" t="n">
        <x:v>4</x:v>
      </x:c>
      <x:c r="J8" s="2" t="str">
        <x:v>Pumps, controls, LEDs, lab</x:v>
      </x:c>
      <x:c r="K8" s="2" t="str">
        <x:v>Crop + power telemetry</x:v>
      </x:c>
      <x:c r="L8" s="2" t="str">
        <x:v>Separate lighting/life-support branches</x:v>
      </x:c>
      <x:c r="M8" s="2" t="n">
        <x:v>6</x:v>
      </x:c>
      <x:c r="N8" s="2" t="str">
        <x:v>2033+</x:v>
      </x:c>
      <x:c r="O8" s="2" t="str">
        <x:v>Lighting can shed</x:v>
      </x:c>
      <x:c r="P8" s="2"/>
      <x:c r="Q8" s="2"/>
    </x:row>
    <x:row r="9">
      <x:c r="A9" s="2" t="str">
        <x:v>UN-06</x:v>
      </x:c>
      <x:c r="B9" s="2" t="str">
        <x:v>ISRU / construction node</x:v>
      </x:c>
      <x:c r="C9" s="2" t="str">
        <x:v>Remote industrial area</x:v>
      </x:c>
      <x:c r="D9" s="2" t="str">
        <x:v>120 VDC local</x:v>
      </x:c>
      <x:c r="E9" s="2" t="str">
        <x:v>HV TBD</x:v>
      </x:c>
      <x:c r="F9" s="2" t="n">
        <x:v>30</x:v>
      </x:c>
      <x:c r="G9" s="2" t="n">
        <x:v>200</x:v>
      </x:c>
      <x:c r="H9" s="2" t="str">
        <x:v>Heavy-service port</x:v>
      </x:c>
      <x:c r="I9" s="2" t="n">
        <x:v>4</x:v>
      </x:c>
      <x:c r="J9" s="2" t="str">
        <x:v>Excavation/process/construction</x:v>
      </x:c>
      <x:c r="K9" s="2" t="str">
        <x:v>Thermal + feeder current</x:v>
      </x:c>
      <x:c r="L9" s="2" t="str">
        <x:v>Aggressive remote isolation</x:v>
      </x:c>
      <x:c r="M9" s="2" t="n">
        <x:v>8</x:v>
      </x:c>
      <x:c r="N9" s="2" t="str">
        <x:v>2034+</x:v>
      </x:c>
      <x:c r="O9" s="2" t="str">
        <x:v>Geographically separable industrial loads</x:v>
      </x:c>
      <x:c r="P9" s="2"/>
      <x:c r="Q9" s="2"/>
    </x:row>
    <x:row r="10">
      <x:c r="A10" s="2"/>
      <x:c r="B10" s="2"/>
      <x:c r="C10" s="2"/>
      <x:c r="D10" s="2"/>
      <x:c r="E10" s="2"/>
      <x:c r="F10" s="2"/>
      <x:c r="G10" s="2"/>
      <x:c r="H10" s="2"/>
      <x:c r="I10" s="2"/>
      <x:c r="J10" s="2"/>
      <x:c r="K10" s="2"/>
      <x:c r="L10" s="2"/>
      <x:c r="M10" s="2"/>
      <x:c r="N10" s="2"/>
      <x:c r="O10" s="2"/>
      <x:c r="P10" s="2"/>
      <x:c r="Q10" s="2"/>
    </x:row>
    <x:row r="11">
      <x:c r="A11" s="2"/>
      <x:c r="B11" s="2"/>
      <x:c r="C11" s="2"/>
      <x:c r="D11" s="2"/>
      <x:c r="E11" s="2"/>
      <x:c r="F11" s="2"/>
      <x:c r="G11" s="2"/>
      <x:c r="H11" s="2"/>
      <x:c r="I11" s="2"/>
      <x:c r="J11" s="2"/>
      <x:c r="K11" s="2"/>
      <x:c r="L11" s="2"/>
      <x:c r="M11" s="2"/>
      <x:c r="N11" s="2"/>
      <x:c r="O11" s="2"/>
      <x:c r="P11" s="2"/>
      <x:c r="Q11" s="2"/>
    </x:row>
    <x:row r="12">
      <x:c r="A12" s="2"/>
      <x:c r="B12" s="2"/>
      <x:c r="C12" s="2"/>
      <x:c r="D12" s="2"/>
      <x:c r="E12" s="2"/>
      <x:c r="F12" s="2"/>
      <x:c r="G12" s="2"/>
      <x:c r="H12" s="2"/>
      <x:c r="I12" s="2"/>
      <x:c r="J12" s="2"/>
      <x:c r="K12" s="2"/>
      <x:c r="L12" s="2"/>
      <x:c r="M12" s="2"/>
      <x:c r="N12" s="2"/>
      <x:c r="O12" s="2"/>
      <x:c r="P12" s="2"/>
      <x:c r="Q12" s="2"/>
    </x:row>
    <x:row r="13">
      <x:c r="A13" s="2"/>
      <x:c r="B13" s="2"/>
      <x:c r="C13" s="2"/>
      <x:c r="D13" s="2"/>
      <x:c r="E13" s="2"/>
      <x:c r="F13" s="2"/>
      <x:c r="G13" s="2"/>
      <x:c r="H13" s="2"/>
      <x:c r="I13" s="2"/>
      <x:c r="J13" s="2"/>
      <x:c r="K13" s="2"/>
      <x:c r="L13" s="2"/>
      <x:c r="M13" s="2"/>
      <x:c r="N13" s="2"/>
      <x:c r="O13" s="2"/>
      <x:c r="P13" s="2"/>
      <x:c r="Q13" s="2"/>
    </x:row>
    <x:row r="14">
      <x:c r="A14" s="2"/>
      <x:c r="B14" s="2"/>
      <x:c r="C14" s="2"/>
      <x:c r="D14" s="2"/>
      <x:c r="E14" s="2"/>
      <x:c r="F14" s="2"/>
      <x:c r="G14" s="2"/>
      <x:c r="H14" s="2"/>
      <x:c r="I14" s="2"/>
      <x:c r="J14" s="2"/>
      <x:c r="K14" s="2"/>
      <x:c r="L14" s="2"/>
      <x:c r="M14" s="2"/>
      <x:c r="N14" s="2"/>
      <x:c r="O14" s="2"/>
      <x:c r="P14" s="2"/>
      <x:c r="Q14" s="2"/>
    </x:row>
    <x:row r="15">
      <x:c r="A15" s="2"/>
      <x:c r="B15" s="2"/>
      <x:c r="C15" s="2"/>
      <x:c r="D15" s="2"/>
      <x:c r="E15" s="2"/>
      <x:c r="F15" s="2"/>
      <x:c r="G15" s="2"/>
      <x:c r="H15" s="2"/>
      <x:c r="I15" s="2"/>
      <x:c r="J15" s="2"/>
      <x:c r="K15" s="2"/>
      <x:c r="L15" s="2"/>
      <x:c r="M15" s="2"/>
      <x:c r="N15" s="2"/>
      <x:c r="O15" s="2"/>
      <x:c r="P15" s="2"/>
      <x:c r="Q15" s="2"/>
    </x:row>
    <x:row r="16">
      <x:c r="A16" s="2"/>
      <x:c r="B16" s="2"/>
      <x:c r="C16" s="2"/>
      <x:c r="D16" s="2"/>
      <x:c r="E16" s="2"/>
      <x:c r="F16" s="2"/>
      <x:c r="G16" s="2"/>
      <x:c r="H16" s="2"/>
      <x:c r="I16" s="2"/>
      <x:c r="J16" s="2"/>
      <x:c r="K16" s="2"/>
      <x:c r="L16" s="2"/>
      <x:c r="M16" s="2"/>
      <x:c r="N16" s="2"/>
      <x:c r="O16" s="2"/>
      <x:c r="P16" s="2"/>
      <x:c r="Q16" s="2"/>
    </x:row>
    <x:row r="17">
      <x:c r="A17" s="2"/>
      <x:c r="B17" s="2"/>
      <x:c r="C17" s="2"/>
      <x:c r="D17" s="2"/>
      <x:c r="E17" s="2"/>
      <x:c r="F17" s="2"/>
      <x:c r="G17" s="2"/>
      <x:c r="H17" s="2"/>
      <x:c r="I17" s="2"/>
      <x:c r="J17" s="2"/>
      <x:c r="K17" s="2"/>
      <x:c r="L17" s="2"/>
      <x:c r="M17" s="2"/>
      <x:c r="N17" s="2"/>
      <x:c r="O17" s="2"/>
      <x:c r="P17" s="2"/>
      <x:c r="Q17" s="2"/>
    </x:row>
    <x:row r="18">
      <x:c r="A18" s="2"/>
      <x:c r="B18" s="2"/>
      <x:c r="C18" s="2"/>
      <x:c r="D18" s="2"/>
      <x:c r="E18" s="2"/>
      <x:c r="F18" s="2"/>
      <x:c r="G18" s="2"/>
      <x:c r="H18" s="2"/>
      <x:c r="I18" s="2"/>
      <x:c r="J18" s="2"/>
      <x:c r="K18" s="2"/>
      <x:c r="L18" s="2"/>
      <x:c r="M18" s="2"/>
      <x:c r="N18" s="2"/>
      <x:c r="O18" s="2"/>
      <x:c r="P18" s="2"/>
      <x:c r="Q18" s="2"/>
    </x:row>
    <x:row r="19">
      <x:c r="A19" s="2"/>
      <x:c r="B19" s="2"/>
      <x:c r="C19" s="2"/>
      <x:c r="D19" s="2"/>
      <x:c r="E19" s="2"/>
      <x:c r="F19" s="2"/>
      <x:c r="G19" s="2"/>
      <x:c r="H19" s="2"/>
      <x:c r="I19" s="2"/>
      <x:c r="J19" s="2"/>
      <x:c r="K19" s="2"/>
      <x:c r="L19" s="2"/>
      <x:c r="M19" s="2"/>
      <x:c r="N19" s="2"/>
      <x:c r="O19" s="2"/>
      <x:c r="P19" s="2"/>
      <x:c r="Q19" s="2"/>
    </x:row>
    <x:row r="20">
      <x:c r="A20" s="2"/>
      <x:c r="B20" s="2"/>
      <x:c r="C20" s="2"/>
      <x:c r="D20" s="2"/>
      <x:c r="E20" s="2"/>
      <x:c r="F20" s="2"/>
      <x:c r="G20" s="2"/>
      <x:c r="H20" s="2"/>
      <x:c r="I20" s="2"/>
      <x:c r="J20" s="2"/>
      <x:c r="K20" s="2"/>
      <x:c r="L20" s="2"/>
      <x:c r="M20" s="2"/>
      <x:c r="N20" s="2"/>
      <x:c r="O20" s="2"/>
      <x:c r="P20" s="2"/>
      <x:c r="Q20" s="2"/>
    </x:row>
    <x:row r="21">
      <x:c r="A21" s="2"/>
      <x:c r="B21" s="2"/>
      <x:c r="C21" s="2"/>
      <x:c r="D21" s="2"/>
      <x:c r="E21" s="2"/>
      <x:c r="F21" s="2"/>
      <x:c r="G21" s="2"/>
      <x:c r="H21" s="2"/>
      <x:c r="I21" s="2"/>
      <x:c r="J21" s="2"/>
      <x:c r="K21" s="2"/>
      <x:c r="L21" s="2"/>
      <x:c r="M21" s="2"/>
      <x:c r="N21" s="2"/>
      <x:c r="O21" s="2"/>
      <x:c r="P21" s="2"/>
      <x:c r="Q21" s="2"/>
    </x:row>
    <x:row r="22">
      <x:c r="A22" s="2"/>
      <x:c r="B22" s="2"/>
      <x:c r="C22" s="2"/>
      <x:c r="D22" s="2"/>
      <x:c r="E22" s="2"/>
      <x:c r="F22" s="2"/>
      <x:c r="G22" s="2"/>
      <x:c r="H22" s="2"/>
      <x:c r="I22" s="2"/>
      <x:c r="J22" s="2"/>
      <x:c r="K22" s="2"/>
      <x:c r="L22" s="2"/>
      <x:c r="M22" s="2"/>
      <x:c r="N22" s="2"/>
      <x:c r="O22" s="2"/>
      <x:c r="P22" s="2"/>
      <x:c r="Q22" s="2"/>
    </x:row>
    <x:row r="23">
      <x:c r="A23" s="2"/>
      <x:c r="B23" s="2"/>
      <x:c r="C23" s="2"/>
      <x:c r="D23" s="2"/>
      <x:c r="E23" s="2"/>
      <x:c r="F23" s="2"/>
      <x:c r="G23" s="2"/>
      <x:c r="H23" s="2"/>
      <x:c r="I23" s="2"/>
      <x:c r="J23" s="2"/>
      <x:c r="K23" s="2"/>
      <x:c r="L23" s="2"/>
      <x:c r="M23" s="2"/>
      <x:c r="N23" s="2"/>
      <x:c r="O23" s="2"/>
      <x:c r="P23" s="2"/>
      <x:c r="Q23" s="2"/>
    </x:row>
    <x:row r="24">
      <x:c r="A24" s="2"/>
      <x:c r="B24" s="2"/>
      <x:c r="C24" s="2"/>
      <x:c r="D24" s="2"/>
      <x:c r="E24" s="2"/>
      <x:c r="F24" s="2"/>
      <x:c r="G24" s="2"/>
      <x:c r="H24" s="2"/>
      <x:c r="I24" s="2"/>
      <x:c r="J24" s="2"/>
      <x:c r="K24" s="2"/>
      <x:c r="L24" s="2"/>
      <x:c r="M24" s="2"/>
      <x:c r="N24" s="2"/>
      <x:c r="O24" s="2"/>
      <x:c r="P24" s="2"/>
      <x:c r="Q24" s="2"/>
    </x:row>
    <x:row r="25">
      <x:c r="A25" s="2"/>
      <x:c r="B25" s="2"/>
      <x:c r="C25" s="2"/>
      <x:c r="D25" s="2"/>
      <x:c r="E25" s="2"/>
      <x:c r="F25" s="2"/>
      <x:c r="G25" s="2"/>
      <x:c r="H25" s="2"/>
      <x:c r="I25" s="2"/>
      <x:c r="J25" s="2"/>
      <x:c r="K25" s="2"/>
      <x:c r="L25" s="2"/>
      <x:c r="M25" s="2"/>
      <x:c r="N25" s="2"/>
      <x:c r="O25" s="2"/>
      <x:c r="P25" s="2"/>
      <x:c r="Q25" s="2"/>
    </x:row>
    <x:row r="26">
      <x:c r="A26" s="2"/>
      <x:c r="B26" s="2"/>
      <x:c r="C26" s="2"/>
      <x:c r="D26" s="2"/>
      <x:c r="E26" s="2"/>
      <x:c r="F26" s="2"/>
      <x:c r="G26" s="2"/>
      <x:c r="H26" s="2"/>
      <x:c r="I26" s="2"/>
      <x:c r="J26" s="2"/>
      <x:c r="K26" s="2"/>
      <x:c r="L26" s="2"/>
      <x:c r="M26" s="2"/>
      <x:c r="N26" s="2"/>
      <x:c r="O26" s="2"/>
      <x:c r="P26" s="2"/>
      <x:c r="Q26" s="2"/>
    </x:row>
    <x:row r="27">
      <x:c r="A27" s="2"/>
      <x:c r="B27" s="2"/>
      <x:c r="C27" s="2"/>
      <x:c r="D27" s="2"/>
      <x:c r="E27" s="2"/>
      <x:c r="F27" s="2"/>
      <x:c r="G27" s="2"/>
      <x:c r="H27" s="2"/>
      <x:c r="I27" s="2"/>
      <x:c r="J27" s="2"/>
      <x:c r="K27" s="2"/>
      <x:c r="L27" s="2"/>
      <x:c r="M27" s="2"/>
      <x:c r="N27" s="2"/>
      <x:c r="O27" s="2"/>
      <x:c r="P27" s="2"/>
      <x:c r="Q27" s="2"/>
    </x:row>
    <x:row r="28">
      <x:c r="A28" s="2"/>
      <x:c r="B28" s="2"/>
      <x:c r="C28" s="2"/>
      <x:c r="D28" s="2"/>
      <x:c r="E28" s="2"/>
      <x:c r="F28" s="2"/>
      <x:c r="G28" s="2"/>
      <x:c r="H28" s="2"/>
      <x:c r="I28" s="2"/>
      <x:c r="J28" s="2"/>
      <x:c r="K28" s="2"/>
      <x:c r="L28" s="2"/>
      <x:c r="M28" s="2"/>
      <x:c r="N28" s="2"/>
      <x:c r="O28" s="2"/>
      <x:c r="P28" s="2"/>
      <x:c r="Q28" s="2"/>
    </x:row>
    <x:row r="29">
      <x:c r="A29" s="2"/>
      <x:c r="B29" s="2"/>
      <x:c r="C29" s="2"/>
      <x:c r="D29" s="2"/>
      <x:c r="E29" s="2"/>
      <x:c r="F29" s="2"/>
      <x:c r="G29" s="2"/>
      <x:c r="H29" s="2"/>
      <x:c r="I29" s="2"/>
      <x:c r="J29" s="2"/>
      <x:c r="K29" s="2"/>
      <x:c r="L29" s="2"/>
      <x:c r="M29" s="2"/>
      <x:c r="N29" s="2"/>
      <x:c r="O29" s="2"/>
      <x:c r="P29" s="2"/>
      <x:c r="Q29" s="2"/>
    </x:row>
    <x:row r="30">
      <x:c r="A30" s="2"/>
      <x:c r="B30" s="2"/>
      <x:c r="C30" s="2"/>
      <x:c r="D30" s="2"/>
      <x:c r="E30" s="2"/>
      <x:c r="F30" s="2"/>
      <x:c r="G30" s="2"/>
      <x:c r="H30" s="2"/>
      <x:c r="I30" s="2"/>
      <x:c r="J30" s="2"/>
      <x:c r="K30" s="2"/>
      <x:c r="L30" s="2"/>
      <x:c r="M30" s="2"/>
      <x:c r="N30" s="2"/>
      <x:c r="O30" s="2"/>
      <x:c r="P30" s="2"/>
      <x:c r="Q30" s="2"/>
    </x:row>
    <x:row r="31">
      <x:c r="A31" s="2"/>
      <x:c r="B31" s="2"/>
      <x:c r="C31" s="2"/>
      <x:c r="D31" s="2"/>
      <x:c r="E31" s="2"/>
      <x:c r="F31" s="2"/>
      <x:c r="G31" s="2"/>
      <x:c r="H31" s="2"/>
      <x:c r="I31" s="2"/>
      <x:c r="J31" s="2"/>
      <x:c r="K31" s="2"/>
      <x:c r="L31" s="2"/>
      <x:c r="M31" s="2"/>
      <x:c r="N31" s="2"/>
      <x:c r="O31" s="2"/>
      <x:c r="P31" s="2"/>
      <x:c r="Q31" s="2"/>
    </x:row>
    <x:row r="32">
      <x:c r="A32" s="2"/>
      <x:c r="B32" s="2"/>
      <x:c r="C32" s="2"/>
      <x:c r="D32" s="2"/>
      <x:c r="E32" s="2"/>
      <x:c r="F32" s="2"/>
      <x:c r="G32" s="2"/>
      <x:c r="H32" s="2"/>
      <x:c r="I32" s="2"/>
      <x:c r="J32" s="2"/>
      <x:c r="K32" s="2"/>
      <x:c r="L32" s="2"/>
      <x:c r="M32" s="2"/>
      <x:c r="N32" s="2"/>
      <x:c r="O32" s="2"/>
      <x:c r="P32" s="2"/>
      <x:c r="Q32" s="2"/>
    </x:row>
    <x:row r="33">
      <x:c r="A33" s="2"/>
      <x:c r="B33" s="2"/>
      <x:c r="C33" s="2"/>
      <x:c r="D33" s="2"/>
      <x:c r="E33" s="2"/>
      <x:c r="F33" s="2"/>
      <x:c r="G33" s="2"/>
      <x:c r="H33" s="2"/>
      <x:c r="I33" s="2"/>
      <x:c r="J33" s="2"/>
      <x:c r="K33" s="2"/>
      <x:c r="L33" s="2"/>
      <x:c r="M33" s="2"/>
      <x:c r="N33" s="2"/>
      <x:c r="O33" s="2"/>
      <x:c r="P33" s="2"/>
      <x:c r="Q33" s="2"/>
    </x:row>
    <x:row r="34">
      <x:c r="A34" s="2"/>
      <x:c r="B34" s="2"/>
      <x:c r="C34" s="2"/>
      <x:c r="D34" s="2"/>
      <x:c r="E34" s="2"/>
      <x:c r="F34" s="2"/>
      <x:c r="G34" s="2"/>
      <x:c r="H34" s="2"/>
      <x:c r="I34" s="2"/>
      <x:c r="J34" s="2"/>
      <x:c r="K34" s="2"/>
      <x:c r="L34" s="2"/>
      <x:c r="M34" s="2"/>
      <x:c r="N34" s="2"/>
      <x:c r="O34" s="2"/>
      <x:c r="P34" s="2"/>
      <x:c r="Q34" s="2"/>
    </x:row>
    <x:row r="35">
      <x:c r="A35" s="2"/>
      <x:c r="B35" s="2"/>
      <x:c r="C35" s="2"/>
      <x:c r="D35" s="2"/>
      <x:c r="E35" s="2"/>
      <x:c r="F35" s="2"/>
      <x:c r="G35" s="2"/>
      <x:c r="H35" s="2"/>
      <x:c r="I35" s="2"/>
      <x:c r="J35" s="2"/>
      <x:c r="K35" s="2"/>
      <x:c r="L35" s="2"/>
      <x:c r="M35" s="2"/>
      <x:c r="N35" s="2"/>
      <x:c r="O35" s="2"/>
      <x:c r="P35" s="2"/>
      <x:c r="Q35" s="2"/>
    </x:row>
    <x:row r="36">
      <x:c r="A36" s="2"/>
      <x:c r="B36" s="2"/>
      <x:c r="C36" s="2"/>
      <x:c r="D36" s="2"/>
      <x:c r="E36" s="2"/>
      <x:c r="F36" s="2"/>
      <x:c r="G36" s="2"/>
      <x:c r="H36" s="2"/>
      <x:c r="I36" s="2"/>
      <x:c r="J36" s="2"/>
      <x:c r="K36" s="2"/>
      <x:c r="L36" s="2"/>
      <x:c r="M36" s="2"/>
      <x:c r="N36" s="2"/>
      <x:c r="O36" s="2"/>
      <x:c r="P36" s="2"/>
      <x:c r="Q36" s="2"/>
    </x:row>
    <x:row r="37">
      <x:c r="A37" s="2"/>
      <x:c r="B37" s="2"/>
      <x:c r="C37" s="2"/>
      <x:c r="D37" s="2"/>
      <x:c r="E37" s="2"/>
      <x:c r="F37" s="2"/>
      <x:c r="G37" s="2"/>
      <x:c r="H37" s="2"/>
      <x:c r="I37" s="2"/>
      <x:c r="J37" s="2"/>
      <x:c r="K37" s="2"/>
      <x:c r="L37" s="2"/>
      <x:c r="M37" s="2"/>
      <x:c r="N37" s="2"/>
      <x:c r="O37" s="2"/>
      <x:c r="P37" s="2"/>
      <x:c r="Q37" s="2"/>
    </x:row>
    <x:row r="38">
      <x:c r="A38" s="2"/>
      <x:c r="B38" s="2"/>
      <x:c r="C38" s="2"/>
      <x:c r="D38" s="2"/>
      <x:c r="E38" s="2"/>
      <x:c r="F38" s="2"/>
      <x:c r="G38" s="2"/>
      <x:c r="H38" s="2"/>
      <x:c r="I38" s="2"/>
      <x:c r="J38" s="2"/>
      <x:c r="K38" s="2"/>
      <x:c r="L38" s="2"/>
      <x:c r="M38" s="2"/>
      <x:c r="N38" s="2"/>
      <x:c r="O38" s="2"/>
      <x:c r="P38" s="2"/>
      <x:c r="Q38" s="2"/>
    </x:row>
    <x:row r="39">
      <x:c r="A39" s="2"/>
      <x:c r="B39" s="2"/>
      <x:c r="C39" s="2"/>
      <x:c r="D39" s="2"/>
      <x:c r="E39" s="2"/>
      <x:c r="F39" s="2"/>
      <x:c r="G39" s="2"/>
      <x:c r="H39" s="2"/>
      <x:c r="I39" s="2"/>
      <x:c r="J39" s="2"/>
      <x:c r="K39" s="2"/>
      <x:c r="L39" s="2"/>
      <x:c r="M39" s="2"/>
      <x:c r="N39" s="2"/>
      <x:c r="O39" s="2"/>
      <x:c r="P39" s="2"/>
      <x:c r="Q39" s="2"/>
    </x:row>
    <x:row r="40">
      <x:c r="A40" s="2"/>
      <x:c r="B40" s="2"/>
      <x:c r="C40" s="2"/>
      <x:c r="D40" s="2"/>
      <x:c r="E40" s="2"/>
      <x:c r="F40" s="2"/>
      <x:c r="G40" s="2"/>
      <x:c r="H40" s="2"/>
      <x:c r="I40" s="2"/>
      <x:c r="J40" s="2"/>
      <x:c r="K40" s="2"/>
      <x:c r="L40" s="2"/>
      <x:c r="M40" s="2"/>
      <x:c r="N40" s="2"/>
      <x:c r="O40" s="2"/>
      <x:c r="P40" s="2"/>
      <x:c r="Q40" s="2"/>
    </x:row>
  </x:sheetData>
  <x:mergeCells>
    <x:mergeCell ref="A1:O1"/>
  </x:mergeCells>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28" hidden="0" customWidth="1"/>
    <x:col min="3" max="3" width="14" hidden="0" customWidth="1"/>
    <x:col min="4" max="4" width="14" hidden="0" customWidth="1"/>
    <x:col min="5" max="5" width="12" hidden="0" customWidth="1"/>
    <x:col min="6" max="6" width="14" hidden="0" customWidth="1"/>
    <x:col min="7" max="7" width="16" hidden="0" customWidth="1"/>
    <x:col min="8" max="8" width="16" hidden="0" customWidth="1"/>
    <x:col min="9" max="9" width="18" hidden="0" customWidth="1"/>
    <x:col min="10" max="10" width="18" hidden="0" customWidth="1"/>
    <x:col min="11" max="11" width="16" hidden="0" customWidth="1"/>
    <x:col min="12" max="12" width="26" hidden="0" customWidth="1"/>
    <x:col min="13" max="13" width="14" hidden="0" customWidth="1"/>
    <x:col min="14" max="14" width="36" hidden="0" customWidth="1"/>
  </x:cols>
  <x:sheetData>
    <x:row r="1">
      <x:c r="A1" s="35" t="str">
        <x:v>Lunar Surface Power Distribution Panel — Electrical + Thermal State</x:v>
      </x:c>
      <x:c r="B1" s="35"/>
      <x:c r="C1" s="35"/>
      <x:c r="D1" s="35"/>
      <x:c r="E1" s="35"/>
      <x:c r="F1" s="35"/>
      <x:c r="G1" s="35"/>
      <x:c r="H1" s="35"/>
      <x:c r="I1" s="35"/>
      <x:c r="J1" s="35"/>
      <x:c r="K1" s="35"/>
      <x:c r="L1" s="35"/>
      <x:c r="M1" s="35"/>
      <x:c r="N1" s="35"/>
      <x:c r="O1" s="2"/>
      <x:c r="P1" s="2"/>
      <x:c r="Q1" s="2"/>
    </x:row>
    <x:row r="2">
      <x:c r="A2" s="2"/>
      <x:c r="B2" s="2"/>
      <x:c r="C2" s="2"/>
      <x:c r="D2" s="2"/>
      <x:c r="E2" s="2"/>
      <x:c r="F2" s="2"/>
      <x:c r="G2" s="2"/>
      <x:c r="H2" s="2"/>
      <x:c r="I2" s="2"/>
      <x:c r="J2" s="2"/>
      <x:c r="K2" s="2"/>
      <x:c r="L2" s="2"/>
      <x:c r="M2" s="2"/>
      <x:c r="N2" s="2"/>
      <x:c r="O2" s="2"/>
      <x:c r="P2" s="2"/>
      <x:c r="Q2" s="2"/>
    </x:row>
    <x:row r="3">
      <x:c r="A3" s="36" t="str">
        <x:v>Circuit</x:v>
      </x:c>
      <x:c r="B3" s="36" t="str">
        <x:v>Load / Destination</x:v>
      </x:c>
      <x:c r="C3" s="36" t="str">
        <x:v>Priority</x:v>
      </x:c>
      <x:c r="D3" s="36" t="str">
        <x:v>Nom Load kW</x:v>
      </x:c>
      <x:c r="E3" s="36" t="str">
        <x:v>Bus VDC</x:v>
      </x:c>
      <x:c r="F3" s="36" t="str">
        <x:v>Converter Eff.</x:v>
      </x:c>
      <x:c r="G3" s="36" t="str">
        <x:v>Design Current A</x:v>
      </x:c>
      <x:c r="H3" s="36" t="str">
        <x:v>Feeder Length m</x:v>
      </x:c>
      <x:c r="I3" s="36" t="str">
        <x:v>Conductor R Ω/km</x:v>
      </x:c>
      <x:c r="J3" s="36" t="str">
        <x:v>Round-trip Loss W</x:v>
      </x:c>
      <x:c r="K3" s="36" t="str">
        <x:v>Voltage Drop V</x:v>
      </x:c>
      <x:c r="L3" s="36" t="str">
        <x:v>Thermal State</x:v>
      </x:c>
      <x:c r="M3" s="36" t="str">
        <x:v>Load Shed?</x:v>
      </x:c>
      <x:c r="N3" s="36" t="str">
        <x:v>Engineering Note</x:v>
      </x:c>
      <x:c r="O3" s="2"/>
      <x:c r="P3" s="2"/>
      <x:c r="Q3" s="2"/>
    </x:row>
    <x:row r="4">
      <x:c r="A4" s="2" t="str">
        <x:v>LC-01</x:v>
      </x:c>
      <x:c r="B4" s="2" t="str">
        <x:v>Habitation + ECLSS</x:v>
      </x:c>
      <x:c r="C4" s="2" t="str">
        <x:v>Critical</x:v>
      </x:c>
      <x:c r="D4" s="20" t="n">
        <x:v>4.6</x:v>
      </x:c>
      <x:c r="E4" s="20" t="n">
        <x:v>120</x:v>
      </x:c>
      <x:c r="F4" s="20" t="n">
        <x:v>0.95</x:v>
      </x:c>
      <x:c r="G4" s="20" t="n">
        <x:f>D4*1000/(E4*F4)</x:f>
        <x:v>40.35087719298246</x:v>
      </x:c>
      <x:c r="H4" s="20" t="n">
        <x:v>40</x:v>
      </x:c>
      <x:c r="I4" s="20" t="n">
        <x:v>0.45</x:v>
      </x:c>
      <x:c r="J4" s="20" t="n">
        <x:f>(G4^2)*(2*H4*I4/1000)</x:f>
        <x:v>58.61495844875347</x:v>
      </x:c>
      <x:c r="K4" s="20" t="n">
        <x:f>G4*(2*H4*I4/1000)</x:f>
        <x:v>1.4526315789473685</x:v>
      </x:c>
      <x:c r="L4" s="2" t="str">
        <x:v>Monitor connector + converter</x:v>
      </x:c>
      <x:c r="M4" s="2" t="str">
        <x:v>No</x:v>
      </x:c>
      <x:c r="N4" s="2" t="str">
        <x:v>Dual-fed local center recommended</x:v>
      </x:c>
      <x:c r="O4" s="2"/>
      <x:c r="P4" s="2"/>
      <x:c r="Q4" s="2"/>
    </x:row>
    <x:row r="5">
      <x:c r="A5" s="2" t="str">
        <x:v>LC-02</x:v>
      </x:c>
      <x:c r="B5" s="2" t="str">
        <x:v>Thermal Control</x:v>
      </x:c>
      <x:c r="C5" s="2" t="str">
        <x:v>Critical</x:v>
      </x:c>
      <x:c r="D5" s="20" t="n">
        <x:v>1.8</x:v>
      </x:c>
      <x:c r="E5" s="20" t="n">
        <x:v>120</x:v>
      </x:c>
      <x:c r="F5" s="20" t="n">
        <x:v>0.95</x:v>
      </x:c>
      <x:c r="G5" s="20" t="n">
        <x:f>D5*1000/(E5*F5)</x:f>
        <x:v>15.789473684210526</x:v>
      </x:c>
      <x:c r="H5" s="20" t="n">
        <x:v>40</x:v>
      </x:c>
      <x:c r="I5" s="20" t="n">
        <x:v>0.45</x:v>
      </x:c>
      <x:c r="J5" s="20" t="n">
        <x:f>(G5^2)*(2*H5*I5/1000)</x:f>
        <x:v>8.975069252077562</x:v>
      </x:c>
      <x:c r="K5" s="20" t="n">
        <x:f>G5*(2*H5*I5/1000)</x:f>
        <x:v>0.5684210526315788</x:v>
      </x:c>
      <x:c r="L5" s="2" t="str">
        <x:v>High-duty pumps</x:v>
      </x:c>
      <x:c r="M5" s="2" t="str">
        <x:v>No</x:v>
      </x:c>
      <x:c r="N5" s="2" t="str">
        <x:v>Separate pump strings</x:v>
      </x:c>
      <x:c r="O5" s="2"/>
      <x:c r="P5" s="2"/>
      <x:c r="Q5" s="2"/>
    </x:row>
    <x:row r="6">
      <x:c r="A6" s="2" t="str">
        <x:v>LC-03</x:v>
      </x:c>
      <x:c r="B6" s="2" t="str">
        <x:v>Command / PNT</x:v>
      </x:c>
      <x:c r="C6" s="2" t="str">
        <x:v>Critical</x:v>
      </x:c>
      <x:c r="D6" s="20" t="n">
        <x:v>0.7</x:v>
      </x:c>
      <x:c r="E6" s="20" t="n">
        <x:v>120</x:v>
      </x:c>
      <x:c r="F6" s="20" t="n">
        <x:v>0.95</x:v>
      </x:c>
      <x:c r="G6" s="20" t="n">
        <x:f>D6*1000/(E6*F6)</x:f>
        <x:v>6.140350877192983</x:v>
      </x:c>
      <x:c r="H6" s="20" t="n">
        <x:v>35</x:v>
      </x:c>
      <x:c r="I6" s="20" t="n">
        <x:v>0.45</x:v>
      </x:c>
      <x:c r="J6" s="20" t="n">
        <x:f>(G6^2)*(2*H6*I6/1000)</x:f>
        <x:v>1.187673130193906</x:v>
      </x:c>
      <x:c r="K6" s="20" t="n">
        <x:f>G6*(2*H6*I6/1000)</x:f>
        <x:v>0.19342105263157897</x:v>
      </x:c>
      <x:c r="L6" s="2" t="str">
        <x:v>Moderate</x:v>
      </x:c>
      <x:c r="M6" s="2" t="str">
        <x:v>No</x:v>
      </x:c>
      <x:c r="N6" s="2" t="str">
        <x:v>28 VDC conversion near load</x:v>
      </x:c>
      <x:c r="O6" s="2"/>
      <x:c r="P6" s="2"/>
      <x:c r="Q6" s="2"/>
    </x:row>
    <x:row r="7">
      <x:c r="A7" s="2" t="str">
        <x:v>LC-04</x:v>
      </x:c>
      <x:c r="B7" s="2" t="str">
        <x:v>Communications</x:v>
      </x:c>
      <x:c r="C7" s="2" t="str">
        <x:v>Critical</x:v>
      </x:c>
      <x:c r="D7" s="20" t="n">
        <x:v>0.8</x:v>
      </x:c>
      <x:c r="E7" s="20" t="n">
        <x:v>120</x:v>
      </x:c>
      <x:c r="F7" s="20" t="n">
        <x:v>0.95</x:v>
      </x:c>
      <x:c r="G7" s="20" t="n">
        <x:f>D7*1000/(E7*F7)</x:f>
        <x:v>7.017543859649122</x:v>
      </x:c>
      <x:c r="H7" s="20" t="n">
        <x:v>60</x:v>
      </x:c>
      <x:c r="I7" s="20" t="n">
        <x:v>0.45</x:v>
      </x:c>
      <x:c r="J7" s="20" t="n">
        <x:f>(G7^2)*(2*H7*I7/1000)</x:f>
        <x:v>2.6592797783933513</x:v>
      </x:c>
      <x:c r="K7" s="20" t="n">
        <x:f>G7*(2*H7*I7/1000)</x:f>
        <x:v>0.3789473684210526</x:v>
      </x:c>
      <x:c r="L7" s="2" t="str">
        <x:v>Moderate</x:v>
      </x:c>
      <x:c r="M7" s="2" t="str">
        <x:v>No</x:v>
      </x:c>
      <x:c r="N7" s="2" t="str">
        <x:v>Maintain emergency low-rate path</x:v>
      </x:c>
      <x:c r="O7" s="2"/>
      <x:c r="P7" s="2"/>
      <x:c r="Q7" s="2"/>
    </x:row>
    <x:row r="8">
      <x:c r="A8" s="2" t="str">
        <x:v>LC-07</x:v>
      </x:c>
      <x:c r="B8" s="2" t="str">
        <x:v>Plant Module</x:v>
      </x:c>
      <x:c r="C8" s="2" t="str">
        <x:v>Essential</x:v>
      </x:c>
      <x:c r="D8" s="20" t="n">
        <x:v>1.05</x:v>
      </x:c>
      <x:c r="E8" s="20" t="n">
        <x:v>120</x:v>
      </x:c>
      <x:c r="F8" s="20" t="n">
        <x:v>0.95</x:v>
      </x:c>
      <x:c r="G8" s="20" t="n">
        <x:f>D8*1000/(E8*F8)</x:f>
        <x:v>9.210526315789474</x:v>
      </x:c>
      <x:c r="H8" s="20" t="n">
        <x:v>70</x:v>
      </x:c>
      <x:c r="I8" s="20" t="n">
        <x:v>0.45</x:v>
      </x:c>
      <x:c r="J8" s="20" t="n">
        <x:f>(G8^2)*(2*H8*I8/1000)</x:f>
        <x:v>5.344529085872577</x:v>
      </x:c>
      <x:c r="K8" s="20" t="n">
        <x:f>G8*(2*H8*I8/1000)</x:f>
        <x:v>0.5802631578947369</x:v>
      </x:c>
      <x:c r="L8" s="2" t="str">
        <x:v>High local heat</x:v>
      </x:c>
      <x:c r="M8" s="2" t="str">
        <x:v>Partial</x:v>
      </x:c>
      <x:c r="N8" s="2" t="str">
        <x:v>Separate pump/control from lighting</x:v>
      </x:c>
      <x:c r="O8" s="2"/>
      <x:c r="P8" s="2"/>
      <x:c r="Q8" s="2"/>
    </x:row>
    <x:row r="9">
      <x:c r="A9" s="2" t="str">
        <x:v>HV-01</x:v>
      </x:c>
      <x:c r="B9" s="2" t="str">
        <x:v>Rover / EVA charging node</x:v>
      </x:c>
      <x:c r="C9" s="2" t="str">
        <x:v>Essential</x:v>
      </x:c>
      <x:c r="D9" s="20" t="n">
        <x:v>1</x:v>
      </x:c>
      <x:c r="E9" s="20" t="n">
        <x:v>800</x:v>
      </x:c>
      <x:c r="F9" s="20" t="n">
        <x:v>0.95</x:v>
      </x:c>
      <x:c r="G9" s="20" t="n">
        <x:f>D9*1000/(E9*F9)</x:f>
        <x:v>1.3157894736842106</x:v>
      </x:c>
      <x:c r="H9" s="20" t="n">
        <x:v>300</x:v>
      </x:c>
      <x:c r="I9" s="20" t="n">
        <x:v>0.12</x:v>
      </x:c>
      <x:c r="J9" s="20" t="n">
        <x:f>(G9^2)*(2*H9*I9/1000)</x:f>
        <x:v>0.12465373961218838</x:v>
      </x:c>
      <x:c r="K9" s="20" t="n">
        <x:f>G9*(2*H9*I9/1000)</x:f>
        <x:v>0.09473684210526316</x:v>
      </x:c>
      <x:c r="L9" s="2" t="str">
        <x:v>Connector hotspot risk</x:v>
      </x:c>
      <x:c r="M9" s="2" t="str">
        <x:v>Yes</x:v>
      </x:c>
      <x:c r="N9" s="2" t="str">
        <x:v>HV trunk reduces current</x:v>
      </x:c>
      <x:c r="O9" s="2"/>
      <x:c r="P9" s="2"/>
      <x:c r="Q9" s="2"/>
    </x:row>
    <x:row r="10">
      <x:c r="A10" s="2" t="str">
        <x:v>HV-03</x:v>
      </x:c>
      <x:c r="B10" s="2" t="str">
        <x:v>Remote solar / source intertie</x:v>
      </x:c>
      <x:c r="C10" s="2" t="str">
        <x:v>Critical</x:v>
      </x:c>
      <x:c r="D10" s="20" t="n">
        <x:v>10</x:v>
      </x:c>
      <x:c r="E10" s="20" t="n">
        <x:v>800</x:v>
      </x:c>
      <x:c r="F10" s="20" t="n">
        <x:v>0.95</x:v>
      </x:c>
      <x:c r="G10" s="20" t="n">
        <x:f>D10*1000/(E10*F10)</x:f>
        <x:v>13.157894736842104</x:v>
      </x:c>
      <x:c r="H10" s="20" t="n">
        <x:v>500</x:v>
      </x:c>
      <x:c r="I10" s="20" t="n">
        <x:v>0.12</x:v>
      </x:c>
      <x:c r="J10" s="20" t="n">
        <x:f>(G10^2)*(2*H10*I10/1000)</x:f>
        <x:v>20.77562326869806</x:v>
      </x:c>
      <x:c r="K10" s="20" t="n">
        <x:f>G10*(2*H10*I10/1000)</x:f>
        <x:v>1.5789473684210524</x:v>
      </x:c>
      <x:c r="L10" s="2" t="str">
        <x:v>Converter/termination thermal watch</x:v>
      </x:c>
      <x:c r="M10" s="2" t="str">
        <x:v>No</x:v>
      </x:c>
      <x:c r="N10" s="2" t="str">
        <x:v>Illustrative HV source intertie</x:v>
      </x:c>
      <x:c r="O10" s="2"/>
      <x:c r="P10" s="2"/>
      <x:c r="Q10" s="2"/>
    </x:row>
    <x:row r="11">
      <x:c r="A11" s="2"/>
      <x:c r="B11" s="2"/>
      <x:c r="C11" s="2"/>
      <x:c r="D11" s="2"/>
      <x:c r="E11" s="2"/>
      <x:c r="F11" s="2"/>
      <x:c r="G11" s="2"/>
      <x:c r="H11" s="2"/>
      <x:c r="I11" s="2"/>
      <x:c r="J11" s="2"/>
      <x:c r="K11" s="2"/>
      <x:c r="L11" s="2"/>
      <x:c r="M11" s="2"/>
      <x:c r="N11" s="2"/>
      <x:c r="O11" s="2"/>
      <x:c r="P11" s="2"/>
      <x:c r="Q11" s="2"/>
    </x:row>
    <x:row r="12">
      <x:c r="A12" s="2"/>
      <x:c r="B12" s="2"/>
      <x:c r="C12" s="2"/>
      <x:c r="D12" s="2"/>
      <x:c r="E12" s="2"/>
      <x:c r="F12" s="2"/>
      <x:c r="G12" s="2"/>
      <x:c r="H12" s="2"/>
      <x:c r="I12" s="2"/>
      <x:c r="J12" s="2"/>
      <x:c r="K12" s="2"/>
      <x:c r="L12" s="2"/>
      <x:c r="M12" s="2"/>
      <x:c r="N12" s="2"/>
      <x:c r="O12" s="2"/>
      <x:c r="P12" s="2"/>
      <x:c r="Q12" s="2"/>
    </x:row>
    <x:row r="13">
      <x:c r="A13" s="2"/>
      <x:c r="B13" s="2"/>
      <x:c r="C13" s="2"/>
      <x:c r="D13" s="2"/>
      <x:c r="E13" s="2"/>
      <x:c r="F13" s="2"/>
      <x:c r="G13" s="2"/>
      <x:c r="H13" s="2"/>
      <x:c r="I13" s="2"/>
      <x:c r="J13" s="2"/>
      <x:c r="K13" s="2"/>
      <x:c r="L13" s="2"/>
      <x:c r="M13" s="2"/>
      <x:c r="N13" s="2"/>
      <x:c r="O13" s="2"/>
      <x:c r="P13" s="2"/>
      <x:c r="Q13" s="2"/>
    </x:row>
    <x:row r="14">
      <x:c r="A14" s="2"/>
      <x:c r="B14" s="2"/>
      <x:c r="C14" s="2"/>
      <x:c r="D14" s="2"/>
      <x:c r="E14" s="2"/>
      <x:c r="F14" s="2"/>
      <x:c r="G14" s="2"/>
      <x:c r="H14" s="2"/>
      <x:c r="I14" s="2"/>
      <x:c r="J14" s="2"/>
      <x:c r="K14" s="2"/>
      <x:c r="L14" s="2"/>
      <x:c r="M14" s="2"/>
      <x:c r="N14" s="2"/>
      <x:c r="O14" s="2"/>
      <x:c r="P14" s="2"/>
      <x:c r="Q14" s="2"/>
    </x:row>
    <x:row r="15">
      <x:c r="A15" s="2"/>
      <x:c r="B15" s="2"/>
      <x:c r="C15" s="2"/>
      <x:c r="D15" s="2"/>
      <x:c r="E15" s="2"/>
      <x:c r="F15" s="2"/>
      <x:c r="G15" s="2"/>
      <x:c r="H15" s="2"/>
      <x:c r="I15" s="2"/>
      <x:c r="J15" s="2"/>
      <x:c r="K15" s="2"/>
      <x:c r="L15" s="2"/>
      <x:c r="M15" s="2"/>
      <x:c r="N15" s="2"/>
      <x:c r="O15" s="2"/>
      <x:c r="P15" s="2"/>
      <x:c r="Q15" s="2"/>
    </x:row>
    <x:row r="16">
      <x:c r="A16" s="2"/>
      <x:c r="B16" s="2"/>
      <x:c r="C16" s="2"/>
      <x:c r="D16" s="2"/>
      <x:c r="E16" s="2"/>
      <x:c r="F16" s="2"/>
      <x:c r="G16" s="2"/>
      <x:c r="H16" s="2"/>
      <x:c r="I16" s="2"/>
      <x:c r="J16" s="2"/>
      <x:c r="K16" s="2"/>
      <x:c r="L16" s="2"/>
      <x:c r="M16" s="2"/>
      <x:c r="N16" s="2"/>
      <x:c r="O16" s="2"/>
      <x:c r="P16" s="2"/>
      <x:c r="Q16" s="2"/>
    </x:row>
    <x:row r="17">
      <x:c r="A17" s="2"/>
      <x:c r="B17" s="2"/>
      <x:c r="C17" s="2"/>
      <x:c r="D17" s="2"/>
      <x:c r="E17" s="2"/>
      <x:c r="F17" s="2"/>
      <x:c r="G17" s="2"/>
      <x:c r="H17" s="2"/>
      <x:c r="I17" s="2"/>
      <x:c r="J17" s="2"/>
      <x:c r="K17" s="2"/>
      <x:c r="L17" s="2"/>
      <x:c r="M17" s="2"/>
      <x:c r="N17" s="2"/>
      <x:c r="O17" s="2"/>
      <x:c r="P17" s="2"/>
      <x:c r="Q17" s="2"/>
    </x:row>
    <x:row r="18">
      <x:c r="A18" s="2"/>
      <x:c r="B18" s="2"/>
      <x:c r="C18" s="2"/>
      <x:c r="D18" s="2"/>
      <x:c r="E18" s="2"/>
      <x:c r="F18" s="2"/>
      <x:c r="G18" s="2"/>
      <x:c r="H18" s="2"/>
      <x:c r="I18" s="2"/>
      <x:c r="J18" s="2"/>
      <x:c r="K18" s="2"/>
      <x:c r="L18" s="2"/>
      <x:c r="M18" s="2"/>
      <x:c r="N18" s="2"/>
      <x:c r="O18" s="2"/>
      <x:c r="P18" s="2"/>
      <x:c r="Q18" s="2"/>
    </x:row>
    <x:row r="19">
      <x:c r="A19" s="2"/>
      <x:c r="B19" s="2"/>
      <x:c r="C19" s="2"/>
      <x:c r="D19" s="2"/>
      <x:c r="E19" s="2"/>
      <x:c r="F19" s="2"/>
      <x:c r="G19" s="2"/>
      <x:c r="H19" s="2"/>
      <x:c r="I19" s="2"/>
      <x:c r="J19" s="2"/>
      <x:c r="K19" s="2"/>
      <x:c r="L19" s="2"/>
      <x:c r="M19" s="2"/>
      <x:c r="N19" s="2"/>
      <x:c r="O19" s="2"/>
      <x:c r="P19" s="2"/>
      <x:c r="Q19" s="2"/>
    </x:row>
    <x:row r="20">
      <x:c r="A20" s="2"/>
      <x:c r="B20" s="2"/>
      <x:c r="C20" s="2"/>
      <x:c r="D20" s="2"/>
      <x:c r="E20" s="2"/>
      <x:c r="F20" s="2"/>
      <x:c r="G20" s="2"/>
      <x:c r="H20" s="2"/>
      <x:c r="I20" s="2"/>
      <x:c r="J20" s="2"/>
      <x:c r="K20" s="2"/>
      <x:c r="L20" s="2"/>
      <x:c r="M20" s="2"/>
      <x:c r="N20" s="2"/>
      <x:c r="O20" s="2"/>
      <x:c r="P20" s="2"/>
      <x:c r="Q20" s="2"/>
    </x:row>
    <x:row r="21">
      <x:c r="A21" s="2"/>
      <x:c r="B21" s="2"/>
      <x:c r="C21" s="2"/>
      <x:c r="D21" s="2"/>
      <x:c r="E21" s="2"/>
      <x:c r="F21" s="2"/>
      <x:c r="G21" s="2"/>
      <x:c r="H21" s="2"/>
      <x:c r="I21" s="2"/>
      <x:c r="J21" s="2"/>
      <x:c r="K21" s="2"/>
      <x:c r="L21" s="2"/>
      <x:c r="M21" s="2"/>
      <x:c r="N21" s="2"/>
      <x:c r="O21" s="2"/>
      <x:c r="P21" s="2"/>
      <x:c r="Q21" s="2"/>
    </x:row>
    <x:row r="22">
      <x:c r="A22" s="2"/>
      <x:c r="B22" s="2"/>
      <x:c r="C22" s="2"/>
      <x:c r="D22" s="2"/>
      <x:c r="E22" s="2"/>
      <x:c r="F22" s="2"/>
      <x:c r="G22" s="2"/>
      <x:c r="H22" s="2"/>
      <x:c r="I22" s="2"/>
      <x:c r="J22" s="2"/>
      <x:c r="K22" s="2"/>
      <x:c r="L22" s="2"/>
      <x:c r="M22" s="2"/>
      <x:c r="N22" s="2"/>
      <x:c r="O22" s="2"/>
      <x:c r="P22" s="2"/>
      <x:c r="Q22" s="2"/>
    </x:row>
    <x:row r="23">
      <x:c r="A23" s="2"/>
      <x:c r="B23" s="2"/>
      <x:c r="C23" s="2"/>
      <x:c r="D23" s="2"/>
      <x:c r="E23" s="2"/>
      <x:c r="F23" s="2"/>
      <x:c r="G23" s="2"/>
      <x:c r="H23" s="2"/>
      <x:c r="I23" s="2"/>
      <x:c r="J23" s="2"/>
      <x:c r="K23" s="2"/>
      <x:c r="L23" s="2"/>
      <x:c r="M23" s="2"/>
      <x:c r="N23" s="2"/>
      <x:c r="O23" s="2"/>
      <x:c r="P23" s="2"/>
      <x:c r="Q23" s="2"/>
    </x:row>
    <x:row r="24">
      <x:c r="A24" s="2"/>
      <x:c r="B24" s="2"/>
      <x:c r="C24" s="2"/>
      <x:c r="D24" s="2"/>
      <x:c r="E24" s="2"/>
      <x:c r="F24" s="2"/>
      <x:c r="G24" s="2"/>
      <x:c r="H24" s="2"/>
      <x:c r="I24" s="2"/>
      <x:c r="J24" s="2"/>
      <x:c r="K24" s="2"/>
      <x:c r="L24" s="2"/>
      <x:c r="M24" s="2"/>
      <x:c r="N24" s="2"/>
      <x:c r="O24" s="2"/>
      <x:c r="P24" s="2"/>
      <x:c r="Q24" s="2"/>
    </x:row>
    <x:row r="25">
      <x:c r="A25" s="2"/>
      <x:c r="B25" s="2"/>
      <x:c r="C25" s="2"/>
      <x:c r="D25" s="2"/>
      <x:c r="E25" s="2"/>
      <x:c r="F25" s="2"/>
      <x:c r="G25" s="2"/>
      <x:c r="H25" s="2"/>
      <x:c r="I25" s="2"/>
      <x:c r="J25" s="2"/>
      <x:c r="K25" s="2"/>
      <x:c r="L25" s="2"/>
      <x:c r="M25" s="2"/>
      <x:c r="N25" s="2"/>
      <x:c r="O25" s="2"/>
      <x:c r="P25" s="2"/>
      <x:c r="Q25" s="2"/>
    </x:row>
    <x:row r="26">
      <x:c r="A26" s="2"/>
      <x:c r="B26" s="2"/>
      <x:c r="C26" s="2"/>
      <x:c r="D26" s="2"/>
      <x:c r="E26" s="2"/>
      <x:c r="F26" s="2"/>
      <x:c r="G26" s="2"/>
      <x:c r="H26" s="2"/>
      <x:c r="I26" s="2"/>
      <x:c r="J26" s="2"/>
      <x:c r="K26" s="2"/>
      <x:c r="L26" s="2"/>
      <x:c r="M26" s="2"/>
      <x:c r="N26" s="2"/>
      <x:c r="O26" s="2"/>
      <x:c r="P26" s="2"/>
      <x:c r="Q26" s="2"/>
    </x:row>
    <x:row r="27">
      <x:c r="A27" s="2"/>
      <x:c r="B27" s="2"/>
      <x:c r="C27" s="2"/>
      <x:c r="D27" s="2"/>
      <x:c r="E27" s="2"/>
      <x:c r="F27" s="2"/>
      <x:c r="G27" s="2"/>
      <x:c r="H27" s="2"/>
      <x:c r="I27" s="2"/>
      <x:c r="J27" s="2"/>
      <x:c r="K27" s="2"/>
      <x:c r="L27" s="2"/>
      <x:c r="M27" s="2"/>
      <x:c r="N27" s="2"/>
      <x:c r="O27" s="2"/>
      <x:c r="P27" s="2"/>
      <x:c r="Q27" s="2"/>
    </x:row>
    <x:row r="28">
      <x:c r="A28" s="2"/>
      <x:c r="B28" s="2"/>
      <x:c r="C28" s="2"/>
      <x:c r="D28" s="2"/>
      <x:c r="E28" s="2"/>
      <x:c r="F28" s="2"/>
      <x:c r="G28" s="2"/>
      <x:c r="H28" s="2"/>
      <x:c r="I28" s="2"/>
      <x:c r="J28" s="2"/>
      <x:c r="K28" s="2"/>
      <x:c r="L28" s="2"/>
      <x:c r="M28" s="2"/>
      <x:c r="N28" s="2"/>
      <x:c r="O28" s="2"/>
      <x:c r="P28" s="2"/>
      <x:c r="Q28" s="2"/>
    </x:row>
    <x:row r="29">
      <x:c r="A29" s="2"/>
      <x:c r="B29" s="2"/>
      <x:c r="C29" s="2"/>
      <x:c r="D29" s="2"/>
      <x:c r="E29" s="2"/>
      <x:c r="F29" s="2"/>
      <x:c r="G29" s="2"/>
      <x:c r="H29" s="2"/>
      <x:c r="I29" s="2"/>
      <x:c r="J29" s="2"/>
      <x:c r="K29" s="2"/>
      <x:c r="L29" s="2"/>
      <x:c r="M29" s="2"/>
      <x:c r="N29" s="2"/>
      <x:c r="O29" s="2"/>
      <x:c r="P29" s="2"/>
      <x:c r="Q29" s="2"/>
    </x:row>
    <x:row r="30">
      <x:c r="A30" s="2"/>
      <x:c r="B30" s="2"/>
      <x:c r="C30" s="2"/>
      <x:c r="D30" s="2"/>
      <x:c r="E30" s="2"/>
      <x:c r="F30" s="2"/>
      <x:c r="G30" s="2"/>
      <x:c r="H30" s="2"/>
      <x:c r="I30" s="2"/>
      <x:c r="J30" s="2"/>
      <x:c r="K30" s="2"/>
      <x:c r="L30" s="2"/>
      <x:c r="M30" s="2"/>
      <x:c r="N30" s="2"/>
      <x:c r="O30" s="2"/>
      <x:c r="P30" s="2"/>
      <x:c r="Q30" s="2"/>
    </x:row>
    <x:row r="31">
      <x:c r="A31" s="2"/>
      <x:c r="B31" s="2"/>
      <x:c r="C31" s="2"/>
      <x:c r="D31" s="2"/>
      <x:c r="E31" s="2"/>
      <x:c r="F31" s="2"/>
      <x:c r="G31" s="2"/>
      <x:c r="H31" s="2"/>
      <x:c r="I31" s="2"/>
      <x:c r="J31" s="2"/>
      <x:c r="K31" s="2"/>
      <x:c r="L31" s="2"/>
      <x:c r="M31" s="2"/>
      <x:c r="N31" s="2"/>
      <x:c r="O31" s="2"/>
      <x:c r="P31" s="2"/>
      <x:c r="Q31" s="2"/>
    </x:row>
    <x:row r="32">
      <x:c r="A32" s="2"/>
      <x:c r="B32" s="2"/>
      <x:c r="C32" s="2"/>
      <x:c r="D32" s="2"/>
      <x:c r="E32" s="2"/>
      <x:c r="F32" s="2"/>
      <x:c r="G32" s="2"/>
      <x:c r="H32" s="2"/>
      <x:c r="I32" s="2"/>
      <x:c r="J32" s="2"/>
      <x:c r="K32" s="2"/>
      <x:c r="L32" s="2"/>
      <x:c r="M32" s="2"/>
      <x:c r="N32" s="2"/>
      <x:c r="O32" s="2"/>
      <x:c r="P32" s="2"/>
      <x:c r="Q32" s="2"/>
    </x:row>
    <x:row r="33">
      <x:c r="A33" s="2"/>
      <x:c r="B33" s="2"/>
      <x:c r="C33" s="2"/>
      <x:c r="D33" s="2"/>
      <x:c r="E33" s="2"/>
      <x:c r="F33" s="2"/>
      <x:c r="G33" s="2"/>
      <x:c r="H33" s="2"/>
      <x:c r="I33" s="2"/>
      <x:c r="J33" s="2"/>
      <x:c r="K33" s="2"/>
      <x:c r="L33" s="2"/>
      <x:c r="M33" s="2"/>
      <x:c r="N33" s="2"/>
      <x:c r="O33" s="2"/>
      <x:c r="P33" s="2"/>
      <x:c r="Q33" s="2"/>
    </x:row>
    <x:row r="34">
      <x:c r="A34" s="2"/>
      <x:c r="B34" s="2"/>
      <x:c r="C34" s="2"/>
      <x:c r="D34" s="2"/>
      <x:c r="E34" s="2"/>
      <x:c r="F34" s="2"/>
      <x:c r="G34" s="2"/>
      <x:c r="H34" s="2"/>
      <x:c r="I34" s="2"/>
      <x:c r="J34" s="2"/>
      <x:c r="K34" s="2"/>
      <x:c r="L34" s="2"/>
      <x:c r="M34" s="2"/>
      <x:c r="N34" s="2"/>
      <x:c r="O34" s="2"/>
      <x:c r="P34" s="2"/>
      <x:c r="Q34" s="2"/>
    </x:row>
    <x:row r="35">
      <x:c r="A35" s="2"/>
      <x:c r="B35" s="2"/>
      <x:c r="C35" s="2"/>
      <x:c r="D35" s="2"/>
      <x:c r="E35" s="2"/>
      <x:c r="F35" s="2"/>
      <x:c r="G35" s="2"/>
      <x:c r="H35" s="2"/>
      <x:c r="I35" s="2"/>
      <x:c r="J35" s="2"/>
      <x:c r="K35" s="2"/>
      <x:c r="L35" s="2"/>
      <x:c r="M35" s="2"/>
      <x:c r="N35" s="2"/>
      <x:c r="O35" s="2"/>
      <x:c r="P35" s="2"/>
      <x:c r="Q35" s="2"/>
    </x:row>
    <x:row r="36">
      <x:c r="A36" s="2"/>
      <x:c r="B36" s="2"/>
      <x:c r="C36" s="2"/>
      <x:c r="D36" s="2"/>
      <x:c r="E36" s="2"/>
      <x:c r="F36" s="2"/>
      <x:c r="G36" s="2"/>
      <x:c r="H36" s="2"/>
      <x:c r="I36" s="2"/>
      <x:c r="J36" s="2"/>
      <x:c r="K36" s="2"/>
      <x:c r="L36" s="2"/>
      <x:c r="M36" s="2"/>
      <x:c r="N36" s="2"/>
      <x:c r="O36" s="2"/>
      <x:c r="P36" s="2"/>
      <x:c r="Q36" s="2"/>
    </x:row>
    <x:row r="37">
      <x:c r="A37" s="2"/>
      <x:c r="B37" s="2"/>
      <x:c r="C37" s="2"/>
      <x:c r="D37" s="2"/>
      <x:c r="E37" s="2"/>
      <x:c r="F37" s="2"/>
      <x:c r="G37" s="2"/>
      <x:c r="H37" s="2"/>
      <x:c r="I37" s="2"/>
      <x:c r="J37" s="2"/>
      <x:c r="K37" s="2"/>
      <x:c r="L37" s="2"/>
      <x:c r="M37" s="2"/>
      <x:c r="N37" s="2"/>
      <x:c r="O37" s="2"/>
      <x:c r="P37" s="2"/>
      <x:c r="Q37" s="2"/>
    </x:row>
    <x:row r="38">
      <x:c r="A38" s="2"/>
      <x:c r="B38" s="2"/>
      <x:c r="C38" s="2"/>
      <x:c r="D38" s="2"/>
      <x:c r="E38" s="2"/>
      <x:c r="F38" s="2"/>
      <x:c r="G38" s="2"/>
      <x:c r="H38" s="2"/>
      <x:c r="I38" s="2"/>
      <x:c r="J38" s="2"/>
      <x:c r="K38" s="2"/>
      <x:c r="L38" s="2"/>
      <x:c r="M38" s="2"/>
      <x:c r="N38" s="2"/>
      <x:c r="O38" s="2"/>
      <x:c r="P38" s="2"/>
      <x:c r="Q38" s="2"/>
    </x:row>
    <x:row r="39">
      <x:c r="A39" s="2"/>
      <x:c r="B39" s="2"/>
      <x:c r="C39" s="2"/>
      <x:c r="D39" s="2"/>
      <x:c r="E39" s="2"/>
      <x:c r="F39" s="2"/>
      <x:c r="G39" s="2"/>
      <x:c r="H39" s="2"/>
      <x:c r="I39" s="2"/>
      <x:c r="J39" s="2"/>
      <x:c r="K39" s="2"/>
      <x:c r="L39" s="2"/>
      <x:c r="M39" s="2"/>
      <x:c r="N39" s="2"/>
      <x:c r="O39" s="2"/>
      <x:c r="P39" s="2"/>
      <x:c r="Q39" s="2"/>
    </x:row>
    <x:row r="40">
      <x:c r="A40" s="2"/>
      <x:c r="B40" s="2"/>
      <x:c r="C40" s="2"/>
      <x:c r="D40" s="2"/>
      <x:c r="E40" s="2"/>
      <x:c r="F40" s="2"/>
      <x:c r="G40" s="2"/>
      <x:c r="H40" s="2"/>
      <x:c r="I40" s="2"/>
      <x:c r="J40" s="2"/>
      <x:c r="K40" s="2"/>
      <x:c r="L40" s="2"/>
      <x:c r="M40" s="2"/>
      <x:c r="N40" s="2"/>
      <x:c r="O40" s="2"/>
      <x:c r="P40" s="2"/>
      <x:c r="Q40" s="2"/>
    </x:row>
  </x:sheetData>
  <x:mergeCells>
    <x:mergeCell ref="A1:N1"/>
  </x:mergeCells>
  <x:conditionalFormatting sqref="J4:J10">
    <x:cfRule type="dataBar" priority="1">
      <x:dataBar>
        <x:cfvo type="min"/>
        <x:cfvo type="max"/>
        <x:color rgb="FFA02B93"/>
      </x:dataBar>
      <x:extLst>
        <x:ext xmlns:x14="http://schemas.microsoft.com/office/spreadsheetml/2009/9/main" uri="{B025F937-C7B1-47D3-B67F-A62EFF666E3E}">
          <x14:id>{CF29DE95-B437-B389-3A5A-97FC2581F6D1}</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CF29DE95-B437-B389-3A5A-97FC2581F6D1}">
            <x14:dataBar gradient="1">
              <x14:cfvo type="min"/>
              <x14:cfvo type="max"/>
              <x14:fillColor rgb="FFA02B93"/>
            </x14:dataBar>
          </x14:cfRule>
          <xm:sqref>J4:J10</xm:sqref>
        </x14:conditionalFormatting>
      </x14:conditionalFormattings>
    </x:ext>
  </x:extLst>
</x:worksheet>
</file>

<file path=xl/worksheets/sheet11.xml><?xml version="1.0" encoding="utf-8"?>
<x:worksheet xmlns:x="http://schemas.openxmlformats.org/spreadsheetml/2006/main">
  <x:sheetFormatPr defaultRowHeight="15"/>
  <x:cols>
    <x:col min="1" max="1" width="10" hidden="0" customWidth="1"/>
    <x:col min="2" max="2" width="18" hidden="0" customWidth="1"/>
    <x:col min="3" max="3" width="34" hidden="0" customWidth="1"/>
    <x:col min="4" max="4" width="12" hidden="0" customWidth="1"/>
    <x:col min="5" max="5" width="12" hidden="0" customWidth="1"/>
    <x:col min="6" max="6" width="20" hidden="0" customWidth="1"/>
    <x:col min="7" max="7" width="30" hidden="0" customWidth="1"/>
    <x:col min="8" max="8" width="28" hidden="0" customWidth="1"/>
    <x:col min="9" max="9" width="10" hidden="0" customWidth="1"/>
    <x:col min="10" max="10" width="10" hidden="0" customWidth="1"/>
    <x:col min="11" max="11" width="16" hidden="0" customWidth="1"/>
    <x:col min="12" max="12" width="28" hidden="0" customWidth="1"/>
    <x:col min="13" max="13" width="30" hidden="0" customWidth="1"/>
    <x:col min="14" max="14" width="14" hidden="0" customWidth="1"/>
  </x:cols>
  <x:sheetData>
    <x:row r="1">
      <x:c r="A1" s="35" t="str">
        <x:v>Development Tasks and Timing</x:v>
      </x:c>
      <x:c r="B1" s="35"/>
      <x:c r="C1" s="35"/>
      <x:c r="D1" s="35"/>
      <x:c r="E1" s="35"/>
      <x:c r="F1" s="35"/>
      <x:c r="G1" s="35"/>
      <x:c r="H1" s="35"/>
      <x:c r="I1" s="35"/>
      <x:c r="J1" s="35"/>
      <x:c r="K1" s="35"/>
      <x:c r="L1" s="35"/>
      <x:c r="M1" s="35"/>
      <x:c r="N1" s="35"/>
      <x:c r="O1" s="2"/>
      <x:c r="P1" s="2"/>
      <x:c r="Q1" s="2"/>
    </x:row>
    <x:row r="2">
      <x:c r="A2" s="2"/>
      <x:c r="B2" s="2"/>
      <x:c r="C2" s="2"/>
      <x:c r="D2" s="2"/>
      <x:c r="E2" s="2"/>
      <x:c r="F2" s="2"/>
      <x:c r="G2" s="2"/>
      <x:c r="H2" s="2"/>
      <x:c r="I2" s="2"/>
      <x:c r="J2" s="2"/>
      <x:c r="K2" s="2"/>
      <x:c r="L2" s="2"/>
      <x:c r="M2" s="2"/>
      <x:c r="N2" s="2"/>
      <x:c r="O2" s="2"/>
      <x:c r="P2" s="2"/>
      <x:c r="Q2" s="2"/>
    </x:row>
    <x:row r="3">
      <x:c r="A3" s="36" t="str">
        <x:v>Task ID</x:v>
      </x:c>
      <x:c r="B3" s="36" t="str">
        <x:v>Workstream</x:v>
      </x:c>
      <x:c r="C3" s="36" t="str">
        <x:v>Task</x:v>
      </x:c>
      <x:c r="D3" s="36" t="str">
        <x:v>Start</x:v>
      </x:c>
      <x:c r="E3" s="36" t="str">
        <x:v>Finish</x:v>
      </x:c>
      <x:c r="F3" s="36" t="str">
        <x:v>Predecessor</x:v>
      </x:c>
      <x:c r="G3" s="36" t="str">
        <x:v>Deliverable</x:v>
      </x:c>
      <x:c r="H3" s="36" t="str">
        <x:v>Test Environment</x:v>
      </x:c>
      <x:c r="I3" s="36" t="str">
        <x:v>TRL Start</x:v>
      </x:c>
      <x:c r="J3" s="36" t="str">
        <x:v>TRL Goal</x:v>
      </x:c>
      <x:c r="K3" s="36" t="str">
        <x:v>Supports Landing</x:v>
      </x:c>
      <x:c r="L3" s="36" t="str">
        <x:v>Mass / Supply Output</x:v>
      </x:c>
      <x:c r="M3" s="36" t="str">
        <x:v>Decision Gate</x:v>
      </x:c>
      <x:c r="N3" s="36" t="str">
        <x:v>Status</x:v>
      </x:c>
      <x:c r="O3" s="2"/>
      <x:c r="P3" s="2"/>
      <x:c r="Q3" s="2"/>
    </x:row>
    <x:row r="4">
      <x:c r="A4" s="2" t="str">
        <x:v>T-01</x:v>
      </x:c>
      <x:c r="B4" s="2" t="str">
        <x:v>Architecture</x:v>
      </x:c>
      <x:c r="C4" s="2" t="str">
        <x:v>Freeze node interface requirements</x:v>
      </x:c>
      <x:c r="D4" s="2" t="str">
        <x:v>2026 Q4</x:v>
      </x:c>
      <x:c r="E4" s="2" t="str">
        <x:v>2027 Q1</x:v>
      </x:c>
      <x:c r="F4" s="2" t="str">
        <x:v>—</x:v>
      </x:c>
      <x:c r="G4" s="2" t="str">
        <x:v>Utility Node ICD v1</x:v>
      </x:c>
      <x:c r="H4" s="2" t="str">
        <x:v>Design / digital twin</x:v>
      </x:c>
      <x:c r="I4" s="2" t="n">
        <x:v>3</x:v>
      </x:c>
      <x:c r="J4" s="2" t="n">
        <x:v>4</x:v>
      </x:c>
      <x:c r="K4" s="2" t="n">
        <x:v>1</x:v>
      </x:c>
      <x:c r="L4" s="2" t="str">
        <x:v>Connector, bus, telemetry standards</x:v>
      </x:c>
      <x:c r="M4" s="2" t="str">
        <x:v>Approve 120 VDC + HV trade</x:v>
      </x:c>
      <x:c r="N4" s="2" t="str">
        <x:v>Active</x:v>
      </x:c>
      <x:c r="O4" s="2"/>
      <x:c r="P4" s="2"/>
      <x:c r="Q4" s="2"/>
    </x:row>
    <x:row r="5">
      <x:c r="A5" s="2" t="str">
        <x:v>T-02</x:v>
      </x:c>
      <x:c r="B5" s="2" t="str">
        <x:v>Energy Storage</x:v>
      </x:c>
      <x:c r="C5" s="2" t="str">
        <x:v>Select first-node battery architecture</x:v>
      </x:c>
      <x:c r="D5" s="2" t="str">
        <x:v>2026 Q4</x:v>
      </x:c>
      <x:c r="E5" s="2" t="str">
        <x:v>2027 Q2</x:v>
      </x:c>
      <x:c r="F5" s="2" t="str">
        <x:v>T-01</x:v>
      </x:c>
      <x:c r="G5" s="2" t="str">
        <x:v>Seed battery concept</x:v>
      </x:c>
      <x:c r="H5" s="2" t="str">
        <x:v>Cell + thermal-vac</x:v>
      </x:c>
      <x:c r="I5" s="2" t="n">
        <x:v>4</x:v>
      </x:c>
      <x:c r="J5" s="2" t="n">
        <x:v>5</x:v>
      </x:c>
      <x:c r="K5" s="2" t="n">
        <x:v>1</x:v>
      </x:c>
      <x:c r="L5" s="2" t="str">
        <x:v>kg/kWh, heater load, spares</x:v>
      </x:c>
      <x:c r="M5" s="2" t="str">
        <x:v>Cold-soak/cycle pass</x:v>
      </x:c>
      <x:c r="N5" s="2" t="str">
        <x:v>Planned</x:v>
      </x:c>
      <x:c r="O5" s="2"/>
      <x:c r="P5" s="2"/>
      <x:c r="Q5" s="2"/>
    </x:row>
    <x:row r="6">
      <x:c r="A6" s="2" t="str">
        <x:v>T-03</x:v>
      </x:c>
      <x:c r="B6" s="2" t="str">
        <x:v>Distribution</x:v>
      </x:c>
      <x:c r="C6" s="2" t="str">
        <x:v>HV transmission voltage + thermal trade</x:v>
      </x:c>
      <x:c r="D6" s="2" t="str">
        <x:v>2026 Q4</x:v>
      </x:c>
      <x:c r="E6" s="2" t="str">
        <x:v>2027 Q2</x:v>
      </x:c>
      <x:c r="F6" s="2" t="str">
        <x:v>T-01</x:v>
      </x:c>
      <x:c r="G6" s="2" t="str">
        <x:v>Feeder trade</x:v>
      </x:c>
      <x:c r="H6" s="2" t="str">
        <x:v>Analytical + cable test</x:v>
      </x:c>
      <x:c r="I6" s="2" t="n">
        <x:v>4</x:v>
      </x:c>
      <x:c r="J6" s="2" t="n">
        <x:v>5</x:v>
      </x:c>
      <x:c r="K6" s="2" t="str">
        <x:v>1–2</x:v>
      </x:c>
      <x:c r="L6" s="2" t="str">
        <x:v>kg/km, loss/km, converter mass</x:v>
      </x:c>
      <x:c r="M6" s="2" t="str">
        <x:v>Select demo voltage</x:v>
      </x:c>
      <x:c r="N6" s="2" t="str">
        <x:v>Active</x:v>
      </x:c>
      <x:c r="O6" s="2"/>
      <x:c r="P6" s="2"/>
      <x:c r="Q6" s="2"/>
    </x:row>
    <x:row r="7">
      <x:c r="A7" s="2" t="str">
        <x:v>T-04</x:v>
      </x:c>
      <x:c r="B7" s="2" t="str">
        <x:v>Umbilicals</x:v>
      </x:c>
      <x:c r="C7" s="2" t="str">
        <x:v>Dust/thermal hardened connector coupons</x:v>
      </x:c>
      <x:c r="D7" s="2" t="str">
        <x:v>2027 Q1</x:v>
      </x:c>
      <x:c r="E7" s="2" t="str">
        <x:v>2027 Q4</x:v>
      </x:c>
      <x:c r="F7" s="2" t="str">
        <x:v>T-01</x:v>
      </x:c>
      <x:c r="G7" s="2" t="str">
        <x:v>Cable + connector prototypes</x:v>
      </x:c>
      <x:c r="H7" s="2" t="str">
        <x:v>Thermal-vac + regolith + bend</x:v>
      </x:c>
      <x:c r="I7" s="2" t="n">
        <x:v>4</x:v>
      </x:c>
      <x:c r="J7" s="2" t="n">
        <x:v>5</x:v>
      </x:c>
      <x:c r="K7" s="2" t="n">
        <x:v>2</x:v>
      </x:c>
      <x:c r="L7" s="2" t="str">
        <x:v>Spare jacket/connector rates</x:v>
      </x:c>
      <x:c r="M7" s="2" t="str">
        <x:v>1000-cycle evidence</x:v>
      </x:c>
      <x:c r="N7" s="2" t="str">
        <x:v>Planned</x:v>
      </x:c>
      <x:c r="O7" s="2"/>
      <x:c r="P7" s="2"/>
      <x:c r="Q7" s="2"/>
    </x:row>
    <x:row r="8">
      <x:c r="A8" s="2" t="str">
        <x:v>T-05</x:v>
      </x:c>
      <x:c r="B8" s="2" t="str">
        <x:v>Controls</x:v>
      </x:c>
      <x:c r="C8" s="2" t="str">
        <x:v>Microgrid EMS HIL demonstrator</x:v>
      </x:c>
      <x:c r="D8" s="2" t="str">
        <x:v>2027 Q1</x:v>
      </x:c>
      <x:c r="E8" s="2" t="str">
        <x:v>2028 Q1</x:v>
      </x:c>
      <x:c r="F8" s="2" t="str">
        <x:v>T-01</x:v>
      </x:c>
      <x:c r="G8" s="2" t="str">
        <x:v>5-node autonomous EMS</x:v>
      </x:c>
      <x:c r="H8" s="2" t="str">
        <x:v>HIL fault campaign</x:v>
      </x:c>
      <x:c r="I8" s="2" t="n">
        <x:v>3</x:v>
      </x:c>
      <x:c r="J8" s="2" t="n">
        <x:v>5</x:v>
      </x:c>
      <x:c r="K8" s="2" t="str">
        <x:v>1–2</x:v>
      </x:c>
      <x:c r="L8" s="2" t="str">
        <x:v>Controller/sensor BOM</x:v>
      </x:c>
      <x:c r="M8" s="2" t="str">
        <x:v>72 h unattended campaign</x:v>
      </x:c>
      <x:c r="N8" s="2" t="str">
        <x:v>Planned</x:v>
      </x:c>
      <x:c r="O8" s="2"/>
      <x:c r="P8" s="2"/>
      <x:c r="Q8" s="2"/>
    </x:row>
    <x:row r="9">
      <x:c r="A9" s="2" t="str">
        <x:v>T-06</x:v>
      </x:c>
      <x:c r="B9" s="2" t="str">
        <x:v>Thermal Bank</x:v>
      </x:c>
      <x:c r="C9" s="2" t="str">
        <x:v>Regolith + closed graywater HX breadboard</x:v>
      </x:c>
      <x:c r="D9" s="2" t="str">
        <x:v>2027 Q2</x:v>
      </x:c>
      <x:c r="E9" s="2" t="str">
        <x:v>2028 Q2</x:v>
      </x:c>
      <x:c r="F9" s="2" t="str">
        <x:v>T-01,T-02</x:v>
      </x:c>
      <x:c r="G9" s="2" t="str">
        <x:v>Thermal-bank demonstrator</x:v>
      </x:c>
      <x:c r="H9" s="2" t="str">
        <x:v>Thermal-vac / lunar analog</x:v>
      </x:c>
      <x:c r="I9" s="2" t="n">
        <x:v>2</x:v>
      </x:c>
      <x:c r="J9" s="2" t="n">
        <x:v>4</x:v>
      </x:c>
      <x:c r="K9" s="2" t="str">
        <x:v>1–2</x:v>
      </x:c>
      <x:c r="L9" s="2" t="str">
        <x:v>kg hardware per kWh_th</x:v>
      </x:c>
      <x:c r="M9" s="2" t="str">
        <x:v>Thermal leverage &gt; battery equivalent</x:v>
      </x:c>
      <x:c r="N9" s="2" t="str">
        <x:v>New</x:v>
      </x:c>
      <x:c r="O9" s="2"/>
      <x:c r="P9" s="2"/>
      <x:c r="Q9" s="2"/>
    </x:row>
    <x:row r="10">
      <x:c r="A10" s="2" t="str">
        <x:v>T-07</x:v>
      </x:c>
      <x:c r="B10" s="2" t="str">
        <x:v>Integrated Grid</x:v>
      </x:c>
      <x:c r="C10" s="2" t="str">
        <x:v>1 km equivalent three-node field demo</x:v>
      </x:c>
      <x:c r="D10" s="2" t="str">
        <x:v>2029 Q1</x:v>
      </x:c>
      <x:c r="E10" s="2" t="str">
        <x:v>2030 Q2</x:v>
      </x:c>
      <x:c r="F10" s="2" t="str">
        <x:v>T-03,T-04,T-05</x:v>
      </x:c>
      <x:c r="G10" s="2" t="str">
        <x:v>Sectionalized grid demo</x:v>
      </x:c>
      <x:c r="H10" s="2" t="str">
        <x:v>Vacuum-relevant field analog</x:v>
      </x:c>
      <x:c r="I10" s="2" t="n">
        <x:v>5</x:v>
      </x:c>
      <x:c r="J10" s="2" t="n">
        <x:v>6</x:v>
      </x:c>
      <x:c r="K10" s="2" t="str">
        <x:v>3–4</x:v>
      </x:c>
      <x:c r="L10" s="2" t="str">
        <x:v>kg/kW-km, loss, repair time</x:v>
      </x:c>
      <x:c r="M10" s="2" t="str">
        <x:v>Grid readiness review</x:v>
      </x:c>
      <x:c r="N10" s="2" t="str">
        <x:v>Planned</x:v>
      </x:c>
      <x:c r="O10" s="2"/>
      <x:c r="P10" s="2"/>
      <x:c r="Q10" s="2"/>
    </x:row>
    <x:row r="11">
      <x:c r="A11" s="2"/>
      <x:c r="B11" s="2"/>
      <x:c r="C11" s="2"/>
      <x:c r="D11" s="2"/>
      <x:c r="E11" s="2"/>
      <x:c r="F11" s="2"/>
      <x:c r="G11" s="2"/>
      <x:c r="H11" s="2"/>
      <x:c r="I11" s="2"/>
      <x:c r="J11" s="2"/>
      <x:c r="K11" s="2"/>
      <x:c r="L11" s="2"/>
      <x:c r="M11" s="2"/>
      <x:c r="N11" s="2"/>
      <x:c r="O11" s="2"/>
      <x:c r="P11" s="2"/>
      <x:c r="Q11" s="2"/>
    </x:row>
    <x:row r="12">
      <x:c r="A12" s="2"/>
      <x:c r="B12" s="2"/>
      <x:c r="C12" s="2"/>
      <x:c r="D12" s="2"/>
      <x:c r="E12" s="2"/>
      <x:c r="F12" s="2"/>
      <x:c r="G12" s="2"/>
      <x:c r="H12" s="2"/>
      <x:c r="I12" s="2"/>
      <x:c r="J12" s="2"/>
      <x:c r="K12" s="2"/>
      <x:c r="L12" s="2"/>
      <x:c r="M12" s="2"/>
      <x:c r="N12" s="2"/>
      <x:c r="O12" s="2"/>
      <x:c r="P12" s="2"/>
      <x:c r="Q12" s="2"/>
    </x:row>
    <x:row r="13">
      <x:c r="A13" s="2"/>
      <x:c r="B13" s="2"/>
      <x:c r="C13" s="2"/>
      <x:c r="D13" s="2"/>
      <x:c r="E13" s="2"/>
      <x:c r="F13" s="2"/>
      <x:c r="G13" s="2"/>
      <x:c r="H13" s="2"/>
      <x:c r="I13" s="2"/>
      <x:c r="J13" s="2"/>
      <x:c r="K13" s="2"/>
      <x:c r="L13" s="2"/>
      <x:c r="M13" s="2"/>
      <x:c r="N13" s="2"/>
      <x:c r="O13" s="2"/>
      <x:c r="P13" s="2"/>
      <x:c r="Q13" s="2"/>
    </x:row>
    <x:row r="14">
      <x:c r="A14" s="2"/>
      <x:c r="B14" s="2"/>
      <x:c r="C14" s="2"/>
      <x:c r="D14" s="2"/>
      <x:c r="E14" s="2"/>
      <x:c r="F14" s="2"/>
      <x:c r="G14" s="2"/>
      <x:c r="H14" s="2"/>
      <x:c r="I14" s="2"/>
      <x:c r="J14" s="2"/>
      <x:c r="K14" s="2"/>
      <x:c r="L14" s="2"/>
      <x:c r="M14" s="2"/>
      <x:c r="N14" s="2"/>
      <x:c r="O14" s="2"/>
      <x:c r="P14" s="2"/>
      <x:c r="Q14" s="2"/>
    </x:row>
    <x:row r="15">
      <x:c r="A15" s="2"/>
      <x:c r="B15" s="2"/>
      <x:c r="C15" s="2"/>
      <x:c r="D15" s="2"/>
      <x:c r="E15" s="2"/>
      <x:c r="F15" s="2"/>
      <x:c r="G15" s="2"/>
      <x:c r="H15" s="2"/>
      <x:c r="I15" s="2"/>
      <x:c r="J15" s="2"/>
      <x:c r="K15" s="2"/>
      <x:c r="L15" s="2"/>
      <x:c r="M15" s="2"/>
      <x:c r="N15" s="2"/>
      <x:c r="O15" s="2"/>
      <x:c r="P15" s="2"/>
      <x:c r="Q15" s="2"/>
    </x:row>
    <x:row r="16">
      <x:c r="A16" s="2"/>
      <x:c r="B16" s="2"/>
      <x:c r="C16" s="2"/>
      <x:c r="D16" s="2"/>
      <x:c r="E16" s="2"/>
      <x:c r="F16" s="2"/>
      <x:c r="G16" s="2"/>
      <x:c r="H16" s="2"/>
      <x:c r="I16" s="2"/>
      <x:c r="J16" s="2"/>
      <x:c r="K16" s="2"/>
      <x:c r="L16" s="2"/>
      <x:c r="M16" s="2"/>
      <x:c r="N16" s="2"/>
      <x:c r="O16" s="2"/>
      <x:c r="P16" s="2"/>
      <x:c r="Q16" s="2"/>
    </x:row>
    <x:row r="17">
      <x:c r="A17" s="2"/>
      <x:c r="B17" s="2"/>
      <x:c r="C17" s="2"/>
      <x:c r="D17" s="2"/>
      <x:c r="E17" s="2"/>
      <x:c r="F17" s="2"/>
      <x:c r="G17" s="2"/>
      <x:c r="H17" s="2"/>
      <x:c r="I17" s="2"/>
      <x:c r="J17" s="2"/>
      <x:c r="K17" s="2"/>
      <x:c r="L17" s="2"/>
      <x:c r="M17" s="2"/>
      <x:c r="N17" s="2"/>
      <x:c r="O17" s="2"/>
      <x:c r="P17" s="2"/>
      <x:c r="Q17" s="2"/>
    </x:row>
    <x:row r="18">
      <x:c r="A18" s="2"/>
      <x:c r="B18" s="2"/>
      <x:c r="C18" s="2"/>
      <x:c r="D18" s="2"/>
      <x:c r="E18" s="2"/>
      <x:c r="F18" s="2"/>
      <x:c r="G18" s="2"/>
      <x:c r="H18" s="2"/>
      <x:c r="I18" s="2"/>
      <x:c r="J18" s="2"/>
      <x:c r="K18" s="2"/>
      <x:c r="L18" s="2"/>
      <x:c r="M18" s="2"/>
      <x:c r="N18" s="2"/>
      <x:c r="O18" s="2"/>
      <x:c r="P18" s="2"/>
      <x:c r="Q18" s="2"/>
    </x:row>
    <x:row r="19">
      <x:c r="A19" s="2"/>
      <x:c r="B19" s="2"/>
      <x:c r="C19" s="2"/>
      <x:c r="D19" s="2"/>
      <x:c r="E19" s="2"/>
      <x:c r="F19" s="2"/>
      <x:c r="G19" s="2"/>
      <x:c r="H19" s="2"/>
      <x:c r="I19" s="2"/>
      <x:c r="J19" s="2"/>
      <x:c r="K19" s="2"/>
      <x:c r="L19" s="2"/>
      <x:c r="M19" s="2"/>
      <x:c r="N19" s="2"/>
      <x:c r="O19" s="2"/>
      <x:c r="P19" s="2"/>
      <x:c r="Q19" s="2"/>
    </x:row>
    <x:row r="20">
      <x:c r="A20" s="2"/>
      <x:c r="B20" s="2"/>
      <x:c r="C20" s="2"/>
      <x:c r="D20" s="2"/>
      <x:c r="E20" s="2"/>
      <x:c r="F20" s="2"/>
      <x:c r="G20" s="2"/>
      <x:c r="H20" s="2"/>
      <x:c r="I20" s="2"/>
      <x:c r="J20" s="2"/>
      <x:c r="K20" s="2"/>
      <x:c r="L20" s="2"/>
      <x:c r="M20" s="2"/>
      <x:c r="N20" s="2"/>
      <x:c r="O20" s="2"/>
      <x:c r="P20" s="2"/>
      <x:c r="Q20" s="2"/>
    </x:row>
    <x:row r="21">
      <x:c r="A21" s="2"/>
      <x:c r="B21" s="2"/>
      <x:c r="C21" s="2"/>
      <x:c r="D21" s="2"/>
      <x:c r="E21" s="2"/>
      <x:c r="F21" s="2"/>
      <x:c r="G21" s="2"/>
      <x:c r="H21" s="2"/>
      <x:c r="I21" s="2"/>
      <x:c r="J21" s="2"/>
      <x:c r="K21" s="2"/>
      <x:c r="L21" s="2"/>
      <x:c r="M21" s="2"/>
      <x:c r="N21" s="2"/>
      <x:c r="O21" s="2"/>
      <x:c r="P21" s="2"/>
      <x:c r="Q21" s="2"/>
    </x:row>
    <x:row r="22">
      <x:c r="A22" s="2"/>
      <x:c r="B22" s="2"/>
      <x:c r="C22" s="2"/>
      <x:c r="D22" s="2"/>
      <x:c r="E22" s="2"/>
      <x:c r="F22" s="2"/>
      <x:c r="G22" s="2"/>
      <x:c r="H22" s="2"/>
      <x:c r="I22" s="2"/>
      <x:c r="J22" s="2"/>
      <x:c r="K22" s="2"/>
      <x:c r="L22" s="2"/>
      <x:c r="M22" s="2"/>
      <x:c r="N22" s="2"/>
      <x:c r="O22" s="2"/>
      <x:c r="P22" s="2"/>
      <x:c r="Q22" s="2"/>
    </x:row>
    <x:row r="23">
      <x:c r="A23" s="2"/>
      <x:c r="B23" s="2"/>
      <x:c r="C23" s="2"/>
      <x:c r="D23" s="2"/>
      <x:c r="E23" s="2"/>
      <x:c r="F23" s="2"/>
      <x:c r="G23" s="2"/>
      <x:c r="H23" s="2"/>
      <x:c r="I23" s="2"/>
      <x:c r="J23" s="2"/>
      <x:c r="K23" s="2"/>
      <x:c r="L23" s="2"/>
      <x:c r="M23" s="2"/>
      <x:c r="N23" s="2"/>
      <x:c r="O23" s="2"/>
      <x:c r="P23" s="2"/>
      <x:c r="Q23" s="2"/>
    </x:row>
    <x:row r="24">
      <x:c r="A24" s="2"/>
      <x:c r="B24" s="2"/>
      <x:c r="C24" s="2"/>
      <x:c r="D24" s="2"/>
      <x:c r="E24" s="2"/>
      <x:c r="F24" s="2"/>
      <x:c r="G24" s="2"/>
      <x:c r="H24" s="2"/>
      <x:c r="I24" s="2"/>
      <x:c r="J24" s="2"/>
      <x:c r="K24" s="2"/>
      <x:c r="L24" s="2"/>
      <x:c r="M24" s="2"/>
      <x:c r="N24" s="2"/>
      <x:c r="O24" s="2"/>
      <x:c r="P24" s="2"/>
      <x:c r="Q24" s="2"/>
    </x:row>
    <x:row r="25">
      <x:c r="A25" s="2"/>
      <x:c r="B25" s="2"/>
      <x:c r="C25" s="2"/>
      <x:c r="D25" s="2"/>
      <x:c r="E25" s="2"/>
      <x:c r="F25" s="2"/>
      <x:c r="G25" s="2"/>
      <x:c r="H25" s="2"/>
      <x:c r="I25" s="2"/>
      <x:c r="J25" s="2"/>
      <x:c r="K25" s="2"/>
      <x:c r="L25" s="2"/>
      <x:c r="M25" s="2"/>
      <x:c r="N25" s="2"/>
      <x:c r="O25" s="2"/>
      <x:c r="P25" s="2"/>
      <x:c r="Q25" s="2"/>
    </x:row>
    <x:row r="26">
      <x:c r="A26" s="2"/>
      <x:c r="B26" s="2"/>
      <x:c r="C26" s="2"/>
      <x:c r="D26" s="2"/>
      <x:c r="E26" s="2"/>
      <x:c r="F26" s="2"/>
      <x:c r="G26" s="2"/>
      <x:c r="H26" s="2"/>
      <x:c r="I26" s="2"/>
      <x:c r="J26" s="2"/>
      <x:c r="K26" s="2"/>
      <x:c r="L26" s="2"/>
      <x:c r="M26" s="2"/>
      <x:c r="N26" s="2"/>
      <x:c r="O26" s="2"/>
      <x:c r="P26" s="2"/>
      <x:c r="Q26" s="2"/>
    </x:row>
    <x:row r="27">
      <x:c r="A27" s="2"/>
      <x:c r="B27" s="2"/>
      <x:c r="C27" s="2"/>
      <x:c r="D27" s="2"/>
      <x:c r="E27" s="2"/>
      <x:c r="F27" s="2"/>
      <x:c r="G27" s="2"/>
      <x:c r="H27" s="2"/>
      <x:c r="I27" s="2"/>
      <x:c r="J27" s="2"/>
      <x:c r="K27" s="2"/>
      <x:c r="L27" s="2"/>
      <x:c r="M27" s="2"/>
      <x:c r="N27" s="2"/>
      <x:c r="O27" s="2"/>
      <x:c r="P27" s="2"/>
      <x:c r="Q27" s="2"/>
    </x:row>
    <x:row r="28">
      <x:c r="A28" s="2"/>
      <x:c r="B28" s="2"/>
      <x:c r="C28" s="2"/>
      <x:c r="D28" s="2"/>
      <x:c r="E28" s="2"/>
      <x:c r="F28" s="2"/>
      <x:c r="G28" s="2"/>
      <x:c r="H28" s="2"/>
      <x:c r="I28" s="2"/>
      <x:c r="J28" s="2"/>
      <x:c r="K28" s="2"/>
      <x:c r="L28" s="2"/>
      <x:c r="M28" s="2"/>
      <x:c r="N28" s="2"/>
      <x:c r="O28" s="2"/>
      <x:c r="P28" s="2"/>
      <x:c r="Q28" s="2"/>
    </x:row>
    <x:row r="29">
      <x:c r="A29" s="2"/>
      <x:c r="B29" s="2"/>
      <x:c r="C29" s="2"/>
      <x:c r="D29" s="2"/>
      <x:c r="E29" s="2"/>
      <x:c r="F29" s="2"/>
      <x:c r="G29" s="2"/>
      <x:c r="H29" s="2"/>
      <x:c r="I29" s="2"/>
      <x:c r="J29" s="2"/>
      <x:c r="K29" s="2"/>
      <x:c r="L29" s="2"/>
      <x:c r="M29" s="2"/>
      <x:c r="N29" s="2"/>
      <x:c r="O29" s="2"/>
      <x:c r="P29" s="2"/>
      <x:c r="Q29" s="2"/>
    </x:row>
    <x:row r="30">
      <x:c r="A30" s="2"/>
      <x:c r="B30" s="2"/>
      <x:c r="C30" s="2"/>
      <x:c r="D30" s="2"/>
      <x:c r="E30" s="2"/>
      <x:c r="F30" s="2"/>
      <x:c r="G30" s="2"/>
      <x:c r="H30" s="2"/>
      <x:c r="I30" s="2"/>
      <x:c r="J30" s="2"/>
      <x:c r="K30" s="2"/>
      <x:c r="L30" s="2"/>
      <x:c r="M30" s="2"/>
      <x:c r="N30" s="2"/>
      <x:c r="O30" s="2"/>
      <x:c r="P30" s="2"/>
      <x:c r="Q30" s="2"/>
    </x:row>
    <x:row r="31">
      <x:c r="A31" s="2"/>
      <x:c r="B31" s="2"/>
      <x:c r="C31" s="2"/>
      <x:c r="D31" s="2"/>
      <x:c r="E31" s="2"/>
      <x:c r="F31" s="2"/>
      <x:c r="G31" s="2"/>
      <x:c r="H31" s="2"/>
      <x:c r="I31" s="2"/>
      <x:c r="J31" s="2"/>
      <x:c r="K31" s="2"/>
      <x:c r="L31" s="2"/>
      <x:c r="M31" s="2"/>
      <x:c r="N31" s="2"/>
      <x:c r="O31" s="2"/>
      <x:c r="P31" s="2"/>
      <x:c r="Q31" s="2"/>
    </x:row>
    <x:row r="32">
      <x:c r="A32" s="2"/>
      <x:c r="B32" s="2"/>
      <x:c r="C32" s="2"/>
      <x:c r="D32" s="2"/>
      <x:c r="E32" s="2"/>
      <x:c r="F32" s="2"/>
      <x:c r="G32" s="2"/>
      <x:c r="H32" s="2"/>
      <x:c r="I32" s="2"/>
      <x:c r="J32" s="2"/>
      <x:c r="K32" s="2"/>
      <x:c r="L32" s="2"/>
      <x:c r="M32" s="2"/>
      <x:c r="N32" s="2"/>
      <x:c r="O32" s="2"/>
      <x:c r="P32" s="2"/>
      <x:c r="Q32" s="2"/>
    </x:row>
    <x:row r="33">
      <x:c r="A33" s="2"/>
      <x:c r="B33" s="2"/>
      <x:c r="C33" s="2"/>
      <x:c r="D33" s="2"/>
      <x:c r="E33" s="2"/>
      <x:c r="F33" s="2"/>
      <x:c r="G33" s="2"/>
      <x:c r="H33" s="2"/>
      <x:c r="I33" s="2"/>
      <x:c r="J33" s="2"/>
      <x:c r="K33" s="2"/>
      <x:c r="L33" s="2"/>
      <x:c r="M33" s="2"/>
      <x:c r="N33" s="2"/>
      <x:c r="O33" s="2"/>
      <x:c r="P33" s="2"/>
      <x:c r="Q33" s="2"/>
    </x:row>
    <x:row r="34">
      <x:c r="A34" s="2"/>
      <x:c r="B34" s="2"/>
      <x:c r="C34" s="2"/>
      <x:c r="D34" s="2"/>
      <x:c r="E34" s="2"/>
      <x:c r="F34" s="2"/>
      <x:c r="G34" s="2"/>
      <x:c r="H34" s="2"/>
      <x:c r="I34" s="2"/>
      <x:c r="J34" s="2"/>
      <x:c r="K34" s="2"/>
      <x:c r="L34" s="2"/>
      <x:c r="M34" s="2"/>
      <x:c r="N34" s="2"/>
      <x:c r="O34" s="2"/>
      <x:c r="P34" s="2"/>
      <x:c r="Q34" s="2"/>
    </x:row>
    <x:row r="35">
      <x:c r="A35" s="2"/>
      <x:c r="B35" s="2"/>
      <x:c r="C35" s="2"/>
      <x:c r="D35" s="2"/>
      <x:c r="E35" s="2"/>
      <x:c r="F35" s="2"/>
      <x:c r="G35" s="2"/>
      <x:c r="H35" s="2"/>
      <x:c r="I35" s="2"/>
      <x:c r="J35" s="2"/>
      <x:c r="K35" s="2"/>
      <x:c r="L35" s="2"/>
      <x:c r="M35" s="2"/>
      <x:c r="N35" s="2"/>
      <x:c r="O35" s="2"/>
      <x:c r="P35" s="2"/>
      <x:c r="Q35" s="2"/>
    </x:row>
    <x:row r="36">
      <x:c r="A36" s="2"/>
      <x:c r="B36" s="2"/>
      <x:c r="C36" s="2"/>
      <x:c r="D36" s="2"/>
      <x:c r="E36" s="2"/>
      <x:c r="F36" s="2"/>
      <x:c r="G36" s="2"/>
      <x:c r="H36" s="2"/>
      <x:c r="I36" s="2"/>
      <x:c r="J36" s="2"/>
      <x:c r="K36" s="2"/>
      <x:c r="L36" s="2"/>
      <x:c r="M36" s="2"/>
      <x:c r="N36" s="2"/>
      <x:c r="O36" s="2"/>
      <x:c r="P36" s="2"/>
      <x:c r="Q36" s="2"/>
    </x:row>
    <x:row r="37">
      <x:c r="A37" s="2"/>
      <x:c r="B37" s="2"/>
      <x:c r="C37" s="2"/>
      <x:c r="D37" s="2"/>
      <x:c r="E37" s="2"/>
      <x:c r="F37" s="2"/>
      <x:c r="G37" s="2"/>
      <x:c r="H37" s="2"/>
      <x:c r="I37" s="2"/>
      <x:c r="J37" s="2"/>
      <x:c r="K37" s="2"/>
      <x:c r="L37" s="2"/>
      <x:c r="M37" s="2"/>
      <x:c r="N37" s="2"/>
      <x:c r="O37" s="2"/>
      <x:c r="P37" s="2"/>
      <x:c r="Q37" s="2"/>
    </x:row>
    <x:row r="38">
      <x:c r="A38" s="2"/>
      <x:c r="B38" s="2"/>
      <x:c r="C38" s="2"/>
      <x:c r="D38" s="2"/>
      <x:c r="E38" s="2"/>
      <x:c r="F38" s="2"/>
      <x:c r="G38" s="2"/>
      <x:c r="H38" s="2"/>
      <x:c r="I38" s="2"/>
      <x:c r="J38" s="2"/>
      <x:c r="K38" s="2"/>
      <x:c r="L38" s="2"/>
      <x:c r="M38" s="2"/>
      <x:c r="N38" s="2"/>
      <x:c r="O38" s="2"/>
      <x:c r="P38" s="2"/>
      <x:c r="Q38" s="2"/>
    </x:row>
    <x:row r="39">
      <x:c r="A39" s="2"/>
      <x:c r="B39" s="2"/>
      <x:c r="C39" s="2"/>
      <x:c r="D39" s="2"/>
      <x:c r="E39" s="2"/>
      <x:c r="F39" s="2"/>
      <x:c r="G39" s="2"/>
      <x:c r="H39" s="2"/>
      <x:c r="I39" s="2"/>
      <x:c r="J39" s="2"/>
      <x:c r="K39" s="2"/>
      <x:c r="L39" s="2"/>
      <x:c r="M39" s="2"/>
      <x:c r="N39" s="2"/>
      <x:c r="O39" s="2"/>
      <x:c r="P39" s="2"/>
      <x:c r="Q39" s="2"/>
    </x:row>
    <x:row r="40">
      <x:c r="A40" s="2"/>
      <x:c r="B40" s="2"/>
      <x:c r="C40" s="2"/>
      <x:c r="D40" s="2"/>
      <x:c r="E40" s="2"/>
      <x:c r="F40" s="2"/>
      <x:c r="G40" s="2"/>
      <x:c r="H40" s="2"/>
      <x:c r="I40" s="2"/>
      <x:c r="J40" s="2"/>
      <x:c r="K40" s="2"/>
      <x:c r="L40" s="2"/>
      <x:c r="M40" s="2"/>
      <x:c r="N40" s="2"/>
      <x:c r="O40" s="2"/>
      <x:c r="P40" s="2"/>
      <x:c r="Q40" s="2"/>
    </x:row>
  </x:sheetData>
  <x:mergeCells>
    <x:mergeCell ref="A1:N1"/>
  </x:mergeCells>
  <x:pageMargins left="0.7" right="0.7" top="0.75" bottom="0.75" header="0.3" footer="0.3"/>
</x:worksheet>
</file>

<file path=xl/worksheets/sheet12.xml><?xml version="1.0" encoding="utf-8"?>
<x:worksheet xmlns:x="http://schemas.openxmlformats.org/spreadsheetml/2006/main">
  <x:sheetFormatPr defaultRowHeight="15"/>
  <x:cols>
    <x:col min="1" max="1" width="22" hidden="0" customWidth="1"/>
    <x:col min="2" max="2" width="32" hidden="0" customWidth="1"/>
    <x:col min="3" max="3" width="14" hidden="0" customWidth="1"/>
    <x:col min="4" max="4" width="16" hidden="0" customWidth="1"/>
    <x:col min="5" max="5" width="14" hidden="0" customWidth="1"/>
    <x:col min="6" max="6" width="24" hidden="0" customWidth="1"/>
    <x:col min="7" max="7" width="16" hidden="0" customWidth="1"/>
    <x:col min="8" max="8" width="28" hidden="0" customWidth="1"/>
    <x:col min="9" max="9" width="14" hidden="0" customWidth="1"/>
    <x:col min="10" max="10" width="38" hidden="0" customWidth="1"/>
    <x:col min="12" max="12" width="28" hidden="0" customWidth="1"/>
    <x:col min="13" max="13" width="14" hidden="0" customWidth="1"/>
    <x:col min="14" max="14" width="44" hidden="0" customWidth="1"/>
  </x:cols>
  <x:sheetData>
    <x:row r="1">
      <x:c r="A1" s="35" t="str">
        <x:v>2027–2028 Mass Reservation &amp; Fairing Packaging Plan — Planning Model</x:v>
      </x:c>
      <x:c r="B1" s="35"/>
      <x:c r="C1" s="35"/>
      <x:c r="D1" s="35"/>
      <x:c r="E1" s="35"/>
      <x:c r="F1" s="35"/>
      <x:c r="G1" s="35"/>
      <x:c r="H1" s="35"/>
      <x:c r="I1" s="35"/>
      <x:c r="J1" s="35"/>
      <x:c r="K1" s="2"/>
      <x:c r="L1" s="2"/>
      <x:c r="M1" s="2"/>
      <x:c r="N1" s="2"/>
      <x:c r="O1" s="2"/>
      <x:c r="P1" s="2"/>
      <x:c r="Q1" s="2"/>
    </x:row>
    <x:row r="2">
      <x:c r="A2" s="2"/>
      <x:c r="B2" s="2"/>
      <x:c r="C2" s="2"/>
      <x:c r="D2" s="2"/>
      <x:c r="E2" s="2"/>
      <x:c r="F2" s="2"/>
      <x:c r="G2" s="2"/>
      <x:c r="H2" s="2"/>
      <x:c r="I2" s="2"/>
      <x:c r="J2" s="2"/>
      <x:c r="K2" s="2"/>
      <x:c r="L2" s="2"/>
      <x:c r="M2" s="2"/>
      <x:c r="N2" s="2"/>
      <x:c r="O2" s="2"/>
      <x:c r="P2" s="2"/>
      <x:c r="Q2" s="2"/>
    </x:row>
    <x:row r="3">
      <x:c r="A3" s="36" t="str">
        <x:v>Mission / Window</x:v>
      </x:c>
      <x:c r="B3" s="36" t="str">
        <x:v>Subsystem</x:v>
      </x:c>
      <x:c r="C3" s="36" t="str">
        <x:v>Priority</x:v>
      </x:c>
      <x:c r="D3" s="36" t="str">
        <x:v>Landed Mass kg</x:v>
      </x:c>
      <x:c r="E3" s="36" t="str">
        <x:v>Local Mass kg</x:v>
      </x:c>
      <x:c r="F3" s="36" t="str">
        <x:v>Packaging Class</x:v>
      </x:c>
      <x:c r="G3" s="36" t="str">
        <x:v>Can Piggyback?</x:v>
      </x:c>
      <x:c r="H3" s="36" t="str">
        <x:v>Mission Need</x:v>
      </x:c>
      <x:c r="I3" s="36" t="str">
        <x:v>Mass Status</x:v>
      </x:c>
      <x:c r="J3" s="36" t="str">
        <x:v>Notes</x:v>
      </x:c>
      <x:c r="K3" s="2"/>
      <x:c r="L3" s="36" t="str">
        <x:v>Mission Mass Summary</x:v>
      </x:c>
      <x:c r="M3" s="36" t="str">
        <x:v>kg</x:v>
      </x:c>
      <x:c r="N3" s="36" t="str">
        <x:v>Interpretation</x:v>
      </x:c>
      <x:c r="O3" s="2"/>
      <x:c r="P3" s="2"/>
      <x:c r="Q3" s="2"/>
    </x:row>
    <x:row r="4">
      <x:c r="A4" s="2" t="str">
        <x:v>2027 Tech Demo</x:v>
      </x:c>
      <x:c r="B4" s="2" t="str">
        <x:v>Seed utility node + PMAD</x:v>
      </x:c>
      <x:c r="C4" s="2" t="str">
        <x:v>Must fly</x:v>
      </x:c>
      <x:c r="D4" s="38" t="n">
        <x:v>250</x:v>
      </x:c>
      <x:c r="E4" s="38" t="n">
        <x:v>0</x:v>
      </x:c>
      <x:c r="F4" s="2" t="str">
        <x:v>Compact equipment rack</x:v>
      </x:c>
      <x:c r="G4" s="2" t="str">
        <x:v>Yes</x:v>
      </x:c>
      <x:c r="H4" s="2" t="str">
        <x:v>Establish standard node + telemetry</x:v>
      </x:c>
      <x:c r="I4" s="2" t="str">
        <x:v>Reserve</x:v>
      </x:c>
      <x:c r="J4" s="2" t="str">
        <x:v>Common interface hardware</x:v>
      </x:c>
      <x:c r="K4" s="2"/>
      <x:c r="L4" s="2" t="str">
        <x:v>2027 tech-demo package</x:v>
      </x:c>
      <x:c r="M4" s="20" t="n">
        <x:f>SUMIF(A4:A17,"2027 Tech Demo",D4:D17)</x:f>
        <x:v>1010</x:v>
      </x:c>
      <x:c r="N4" s="2" t="str">
        <x:v>Target ~1 t class; can be split across piggyback opportunities</x:v>
      </x:c>
      <x:c r="O4" s="2"/>
      <x:c r="P4" s="2"/>
      <x:c r="Q4" s="2"/>
    </x:row>
    <x:row r="5">
      <x:c r="A5" s="2" t="str">
        <x:v>2027 Tech Demo</x:v>
      </x:c>
      <x:c r="B5" s="2" t="str">
        <x:v>Battery demonstrator 40 kWh</x:v>
      </x:c>
      <x:c r="C5" s="2" t="str">
        <x:v>Must fly</x:v>
      </x:c>
      <x:c r="D5" s="38" t="n">
        <x:v>250</x:v>
      </x:c>
      <x:c r="E5" s="38" t="n">
        <x:v>0</x:v>
      </x:c>
      <x:c r="F5" s="2" t="str">
        <x:v>Dense / rectangular</x:v>
      </x:c>
      <x:c r="G5" s="2" t="str">
        <x:v>Yes</x:v>
      </x:c>
      <x:c r="H5" s="2" t="str">
        <x:v>Autonomy + cold-soak test</x:v>
      </x:c>
      <x:c r="I5" s="2" t="str">
        <x:v>Reserve</x:v>
      </x:c>
      <x:c r="J5" s="2" t="str">
        <x:v>~160 Wh/kg pack-level planning</x:v>
      </x:c>
      <x:c r="K5" s="2"/>
      <x:c r="L5" s="2" t="str">
        <x:v>2028 early-infrastructure package</x:v>
      </x:c>
      <x:c r="M5" s="20" t="n">
        <x:f>SUMIF(A4:A17,"2028 Early Infrastructure",D4:D17)</x:f>
        <x:v>2316</x:v>
      </x:c>
      <x:c r="N5" s="2" t="str">
        <x:v>~2.3 t planning envelope before habitat-specific hardware</x:v>
      </x:c>
      <x:c r="O5" s="2"/>
      <x:c r="P5" s="2"/>
      <x:c r="Q5" s="2"/>
    </x:row>
    <x:row r="6">
      <x:c r="A6" s="2" t="str">
        <x:v>2027 Tech Demo</x:v>
      </x:c>
      <x:c r="B6" s="2" t="str">
        <x:v>10 kW solar + deployment</x:v>
      </x:c>
      <x:c r="C6" s="2" t="str">
        <x:v>Must fly</x:v>
      </x:c>
      <x:c r="D6" s="38" t="n">
        <x:v>125</x:v>
      </x:c>
      <x:c r="E6" s="38" t="n">
        <x:v>0</x:v>
      </x:c>
      <x:c r="F6" s="2" t="str">
        <x:v>Folded planar / deployable</x:v>
      </x:c>
      <x:c r="G6" s="2" t="str">
        <x:v>Yes</x:v>
      </x:c>
      <x:c r="H6" s="2" t="str">
        <x:v>Initial generation</x:v>
      </x:c>
      <x:c r="I6" s="2" t="str">
        <x:v>Reserve</x:v>
      </x:c>
      <x:c r="J6" s="2" t="str">
        <x:v>~80 W/kg planning</x:v>
      </x:c>
      <x:c r="K6" s="2"/>
      <x:c r="L6" s="2" t="str">
        <x:v>2028 mass reservation target</x:v>
      </x:c>
      <x:c r="M6" s="20" t="n">
        <x:v>2500</x:v>
      </x:c>
      <x:c r="N6" s="2" t="str">
        <x:v>Round planning number to protect cargo/fairing allocation</x:v>
      </x:c>
      <x:c r="O6" s="2"/>
      <x:c r="P6" s="2"/>
      <x:c r="Q6" s="2"/>
    </x:row>
    <x:row r="7">
      <x:c r="A7" s="2" t="str">
        <x:v>2027 Tech Demo</x:v>
      </x:c>
      <x:c r="B7" s="2" t="str">
        <x:v>Cable + connector coupon set</x:v>
      </x:c>
      <x:c r="C7" s="2" t="str">
        <x:v>Must fly</x:v>
      </x:c>
      <x:c r="D7" s="38" t="n">
        <x:v>120</x:v>
      </x:c>
      <x:c r="E7" s="38" t="n">
        <x:v>0</x:v>
      </x:c>
      <x:c r="F7" s="2" t="str">
        <x:v>Long / spool + small boxes</x:v>
      </x:c>
      <x:c r="G7" s="2" t="str">
        <x:v>Yes</x:v>
      </x:c>
      <x:c r="H7" s="2" t="str">
        <x:v>Dust/thermal/mate testing</x:v>
      </x:c>
      <x:c r="I7" s="2" t="str">
        <x:v>Reserve</x:v>
      </x:c>
      <x:c r="J7" s="2" t="str">
        <x:v>Include thermal sensing</x:v>
      </x:c>
      <x:c r="K7" s="2"/>
      <x:c r="L7" s="2" t="str">
        <x:v>2028 local regolith leveraged</x:v>
      </x:c>
      <x:c r="M7" s="20" t="n">
        <x:f>SUMIF(A4:A17,"2028 Early Infrastructure",E4:E17)</x:f>
        <x:v>10000</x:v>
      </x:c>
      <x:c r="N7" s="2" t="str">
        <x:v>Thermal mass sourced on Moon</x:v>
      </x:c>
      <x:c r="O7" s="2"/>
      <x:c r="P7" s="2"/>
      <x:c r="Q7" s="2"/>
    </x:row>
    <x:row r="8">
      <x:c r="A8" s="2" t="str">
        <x:v>2027 Tech Demo</x:v>
      </x:c>
      <x:c r="B8" s="2" t="str">
        <x:v>EMS controls + sensors</x:v>
      </x:c>
      <x:c r="C8" s="2" t="str">
        <x:v>Must fly</x:v>
      </x:c>
      <x:c r="D8" s="38" t="n">
        <x:v>40</x:v>
      </x:c>
      <x:c r="E8" s="38" t="n">
        <x:v>0</x:v>
      </x:c>
      <x:c r="F8" s="2" t="str">
        <x:v>Avionics box</x:v>
      </x:c>
      <x:c r="G8" s="2" t="str">
        <x:v>Yes</x:v>
      </x:c>
      <x:c r="H8" s="2" t="str">
        <x:v>Autonomous operation</x:v>
      </x:c>
      <x:c r="I8" s="2" t="str">
        <x:v>Reserve</x:v>
      </x:c>
      <x:c r="J8" s="2" t="str">
        <x:v>HIL-derived design</x:v>
      </x:c>
      <x:c r="K8" s="2"/>
      <x:c r="L8" s="2" t="str">
        <x:v>Local-to-landed thermal leverage</x:v>
      </x:c>
      <x:c r="M8" s="20" t="n">
        <x:f>M7/SUMIF(A4:A17,"2028 Early Infrastructure",D4:D17)</x:f>
        <x:v>4.317789291882556</x:v>
      </x:c>
      <x:c r="N8" s="2" t="str">
        <x:v>Regolith kg per landed thermal-bank hardware kg</x:v>
      </x:c>
      <x:c r="O8" s="2"/>
      <x:c r="P8" s="2"/>
      <x:c r="Q8" s="2"/>
    </x:row>
    <x:row r="9">
      <x:c r="A9" s="2" t="str">
        <x:v>2027 Tech Demo</x:v>
      </x:c>
      <x:c r="B9" s="2" t="str">
        <x:v>Thermal-bank HX breadboard</x:v>
      </x:c>
      <x:c r="C9" s="2" t="str">
        <x:v>Should fly</x:v>
      </x:c>
      <x:c r="D9" s="38" t="n">
        <x:v>100</x:v>
      </x:c>
      <x:c r="E9" s="38" t="n">
        <x:v>2000</x:v>
      </x:c>
      <x:c r="F9" s="2" t="str">
        <x:v>Compact manifolds / tubing</x:v>
      </x:c>
      <x:c r="G9" s="2" t="str">
        <x:v>Yes</x:v>
      </x:c>
      <x:c r="H9" s="2" t="str">
        <x:v>Validate local thermal mass leverage</x:v>
      </x:c>
      <x:c r="I9" s="2" t="str">
        <x:v>Reserve</x:v>
      </x:c>
      <x:c r="J9" s="2" t="str">
        <x:v>Regolith is local mass</x:v>
      </x:c>
      <x:c r="K9" s="2"/>
      <x:c r="L9" s="2"/>
      <x:c r="M9" s="2"/>
      <x:c r="N9" s="2"/>
      <x:c r="O9" s="2"/>
      <x:c r="P9" s="2"/>
      <x:c r="Q9" s="2"/>
    </x:row>
    <x:row r="10">
      <x:c r="A10" s="2" t="str">
        <x:v>2027 Tech Demo</x:v>
      </x:c>
      <x:c r="B10" s="2" t="str">
        <x:v>Deployment aids / tools</x:v>
      </x:c>
      <x:c r="C10" s="2" t="str">
        <x:v>Should fly</x:v>
      </x:c>
      <x:c r="D10" s="38" t="n">
        <x:v>125</x:v>
      </x:c>
      <x:c r="E10" s="38" t="n">
        <x:v>0</x:v>
      </x:c>
      <x:c r="F10" s="2" t="str">
        <x:v>Tooling / irregular</x:v>
      </x:c>
      <x:c r="G10" s="2" t="str">
        <x:v>Yes</x:v>
      </x:c>
      <x:c r="H10" s="2" t="str">
        <x:v>Robotic or crew-assisted setup</x:v>
      </x:c>
      <x:c r="I10" s="2" t="str">
        <x:v>Reserve</x:v>
      </x:c>
      <x:c r="J10" s="2" t="str">
        <x:v>Could share rover tool set</x:v>
      </x:c>
      <x:c r="K10" s="2"/>
      <x:c r="L10" s="2"/>
      <x:c r="M10" s="2"/>
      <x:c r="N10" s="2"/>
      <x:c r="O10" s="2"/>
      <x:c r="P10" s="2"/>
      <x:c r="Q10" s="2"/>
    </x:row>
    <x:row r="11">
      <x:c r="A11" s="2" t="str">
        <x:v>2028 Early Infrastructure</x:v>
      </x:c>
      <x:c r="B11" s="2" t="str">
        <x:v>20 kW solar total</x:v>
      </x:c>
      <x:c r="C11" s="2" t="str">
        <x:v>Must fly</x:v>
      </x:c>
      <x:c r="D11" s="38" t="n">
        <x:v>250</x:v>
      </x:c>
      <x:c r="E11" s="38" t="n">
        <x:v>0</x:v>
      </x:c>
      <x:c r="F11" s="2" t="str">
        <x:v>Folded planar / deployable</x:v>
      </x:c>
      <x:c r="G11" s="2" t="str">
        <x:v>Maybe</x:v>
      </x:c>
      <x:c r="H11" s="2" t="str">
        <x:v>Operational generation</x:v>
      </x:c>
      <x:c r="I11" s="2" t="str">
        <x:v>Reserve</x:v>
      </x:c>
      <x:c r="J11" s="2" t="str">
        <x:v>Two 10 kW-class elements</x:v>
      </x:c>
      <x:c r="K11" s="2"/>
      <x:c r="L11" s="2"/>
      <x:c r="M11" s="2"/>
      <x:c r="N11" s="2"/>
      <x:c r="O11" s="2"/>
      <x:c r="P11" s="2"/>
      <x:c r="Q11" s="2"/>
    </x:row>
    <x:row r="12">
      <x:c r="A12" s="2" t="str">
        <x:v>2028 Early Infrastructure</x:v>
      </x:c>
      <x:c r="B12" s="2" t="str">
        <x:v>118.5 kWh battery</x:v>
      </x:c>
      <x:c r="C12" s="2" t="str">
        <x:v>Must fly</x:v>
      </x:c>
      <x:c r="D12" s="38" t="n">
        <x:v>741</x:v>
      </x:c>
      <x:c r="E12" s="38" t="n">
        <x:v>0</x:v>
      </x:c>
      <x:c r="F12" s="2" t="str">
        <x:v>Dense modular packs</x:v>
      </x:c>
      <x:c r="G12" s="2" t="str">
        <x:v>Maybe</x:v>
      </x:c>
      <x:c r="H12" s="2" t="str">
        <x:v>12 h critical-load target</x:v>
      </x:c>
      <x:c r="I12" s="2" t="str">
        <x:v>Reserve</x:v>
      </x:c>
      <x:c r="J12" s="2" t="str">
        <x:v>Current model value</x:v>
      </x:c>
      <x:c r="K12" s="2"/>
      <x:c r="L12" s="2"/>
      <x:c r="M12" s="2"/>
      <x:c r="N12" s="2"/>
      <x:c r="O12" s="2"/>
      <x:c r="P12" s="2"/>
      <x:c r="Q12" s="2"/>
    </x:row>
    <x:row r="13">
      <x:c r="A13" s="2" t="str">
        <x:v>2028 Early Infrastructure</x:v>
      </x:c>
      <x:c r="B13" s="2" t="str">
        <x:v>PMAD + autonomous node hardware</x:v>
      </x:c>
      <x:c r="C13" s="2" t="str">
        <x:v>Must fly</x:v>
      </x:c>
      <x:c r="D13" s="38" t="n">
        <x:v>400</x:v>
      </x:c>
      <x:c r="E13" s="38" t="n">
        <x:v>0</x:v>
      </x:c>
      <x:c r="F13" s="2" t="str">
        <x:v>Equipment racks / boxes</x:v>
      </x:c>
      <x:c r="G13" s="2" t="str">
        <x:v>Maybe</x:v>
      </x:c>
      <x:c r="H13" s="2" t="str">
        <x:v>Distribution + controls</x:v>
      </x:c>
      <x:c r="I13" s="2" t="str">
        <x:v>Reserve</x:v>
      </x:c>
      <x:c r="J13" s="2" t="str">
        <x:v>Model allowance</x:v>
      </x:c>
      <x:c r="K13" s="2"/>
      <x:c r="L13" s="2"/>
      <x:c r="M13" s="2"/>
      <x:c r="N13" s="2"/>
      <x:c r="O13" s="2"/>
      <x:c r="P13" s="2"/>
      <x:c r="Q13" s="2"/>
    </x:row>
    <x:row r="14">
      <x:c r="A14" s="2" t="str">
        <x:v>2028 Early Infrastructure</x:v>
      </x:c>
      <x:c r="B14" s="2" t="str">
        <x:v>Thermal-bank loop + HX field</x:v>
      </x:c>
      <x:c r="C14" s="2" t="str">
        <x:v>Should fly</x:v>
      </x:c>
      <x:c r="D14" s="38" t="n">
        <x:v>300</x:v>
      </x:c>
      <x:c r="E14" s="38" t="n">
        <x:v>10000</x:v>
      </x:c>
      <x:c r="F14" s="2" t="str">
        <x:v>Tubing / manifolds / insulation</x:v>
      </x:c>
      <x:c r="G14" s="2" t="str">
        <x:v>Maybe</x:v>
      </x:c>
      <x:c r="H14" s="2" t="str">
        <x:v>Bank waste heat; reduce radiator duty</x:v>
      </x:c>
      <x:c r="I14" s="2" t="str">
        <x:v>Reserve</x:v>
      </x:c>
      <x:c r="J14" s="2" t="str">
        <x:v>Closed graywater loop</x:v>
      </x:c>
      <x:c r="K14" s="2"/>
      <x:c r="L14" s="2"/>
      <x:c r="M14" s="2"/>
      <x:c r="N14" s="2"/>
      <x:c r="O14" s="2"/>
      <x:c r="P14" s="2"/>
      <x:c r="Q14" s="2"/>
    </x:row>
    <x:row r="15">
      <x:c r="A15" s="2" t="str">
        <x:v>2028 Early Infrastructure</x:v>
      </x:c>
      <x:c r="B15" s="2" t="str">
        <x:v>Cable + connectors / feeder hardware</x:v>
      </x:c>
      <x:c r="C15" s="2" t="str">
        <x:v>Must fly</x:v>
      </x:c>
      <x:c r="D15" s="38" t="n">
        <x:v>250</x:v>
      </x:c>
      <x:c r="E15" s="38" t="n">
        <x:v>0</x:v>
      </x:c>
      <x:c r="F15" s="2" t="str">
        <x:v>Spools / reels / boxes</x:v>
      </x:c>
      <x:c r="G15" s="2" t="str">
        <x:v>Maybe</x:v>
      </x:c>
      <x:c r="H15" s="2" t="str">
        <x:v>Microgrid distribution</x:v>
      </x:c>
      <x:c r="I15" s="2" t="str">
        <x:v>Reserve</x:v>
      </x:c>
      <x:c r="J15" s="2" t="str">
        <x:v>Thermal-regulated terminations</x:v>
      </x:c>
      <x:c r="K15" s="2"/>
      <x:c r="L15" s="2"/>
      <x:c r="M15" s="2"/>
      <x:c r="N15" s="2"/>
      <x:c r="O15" s="2"/>
      <x:c r="P15" s="2"/>
      <x:c r="Q15" s="2"/>
    </x:row>
    <x:row r="16">
      <x:c r="A16" s="2" t="str">
        <x:v>2028 Early Infrastructure</x:v>
      </x:c>
      <x:c r="B16" s="2" t="str">
        <x:v>EMS / telemetry / fault isolation</x:v>
      </x:c>
      <x:c r="C16" s="2" t="str">
        <x:v>Must fly</x:v>
      </x:c>
      <x:c r="D16" s="38" t="n">
        <x:v>75</x:v>
      </x:c>
      <x:c r="E16" s="38" t="n">
        <x:v>0</x:v>
      </x:c>
      <x:c r="F16" s="2" t="str">
        <x:v>Avionics boxes</x:v>
      </x:c>
      <x:c r="G16" s="2" t="str">
        <x:v>Yes</x:v>
      </x:c>
      <x:c r="H16" s="2" t="str">
        <x:v>Unattended sectionalized grid</x:v>
      </x:c>
      <x:c r="I16" s="2" t="str">
        <x:v>Reserve</x:v>
      </x:c>
      <x:c r="J16" s="2" t="str">
        <x:v>Redundant sensing</x:v>
      </x:c>
      <x:c r="K16" s="2"/>
      <x:c r="L16" s="2"/>
      <x:c r="M16" s="2"/>
      <x:c r="N16" s="2"/>
      <x:c r="O16" s="2"/>
      <x:c r="P16" s="2"/>
      <x:c r="Q16" s="2"/>
    </x:row>
    <x:row r="17">
      <x:c r="A17" s="2" t="str">
        <x:v>2028 Early Infrastructure</x:v>
      </x:c>
      <x:c r="B17" s="2" t="str">
        <x:v>Deployment rover / handling allowance</x:v>
      </x:c>
      <x:c r="C17" s="2" t="str">
        <x:v>Should fly</x:v>
      </x:c>
      <x:c r="D17" s="38" t="n">
        <x:v>300</x:v>
      </x:c>
      <x:c r="E17" s="38" t="n">
        <x:v>0</x:v>
      </x:c>
      <x:c r="F17" s="2" t="str">
        <x:v>Vehicle / irregular</x:v>
      </x:c>
      <x:c r="G17" s="2" t="str">
        <x:v>No</x:v>
      </x:c>
      <x:c r="H17" s="2" t="str">
        <x:v>Cable/array/node deployment</x:v>
      </x:c>
      <x:c r="I17" s="2" t="str">
        <x:v>Reserve</x:v>
      </x:c>
      <x:c r="J17" s="2" t="str">
        <x:v>Could be shared mission asset</x:v>
      </x:c>
      <x:c r="K17" s="2"/>
      <x:c r="L17" s="2"/>
      <x:c r="M17" s="2"/>
      <x:c r="N17" s="2"/>
      <x:c r="O17" s="2"/>
      <x:c r="P17" s="2"/>
      <x:c r="Q17" s="2"/>
    </x:row>
    <x:row r="18">
      <x:c r="A18" s="2"/>
      <x:c r="B18" s="2"/>
      <x:c r="C18" s="2"/>
      <x:c r="D18" s="2"/>
      <x:c r="E18" s="2"/>
      <x:c r="F18" s="2"/>
      <x:c r="G18" s="2"/>
      <x:c r="H18" s="2"/>
      <x:c r="I18" s="2"/>
      <x:c r="J18" s="2"/>
      <x:c r="K18" s="2"/>
      <x:c r="L18" s="2"/>
      <x:c r="M18" s="2"/>
      <x:c r="N18" s="2"/>
      <x:c r="O18" s="2"/>
      <x:c r="P18" s="2"/>
      <x:c r="Q18" s="2"/>
    </x:row>
    <x:row r="19">
      <x:c r="A19" s="2"/>
      <x:c r="B19" s="2"/>
      <x:c r="C19" s="2"/>
      <x:c r="D19" s="2"/>
      <x:c r="E19" s="2"/>
      <x:c r="F19" s="2"/>
      <x:c r="G19" s="2"/>
      <x:c r="H19" s="2"/>
      <x:c r="I19" s="2"/>
      <x:c r="J19" s="2"/>
      <x:c r="K19" s="2"/>
      <x:c r="L19" s="2"/>
      <x:c r="M19" s="2"/>
      <x:c r="N19" s="2"/>
      <x:c r="O19" s="2"/>
      <x:c r="P19" s="2"/>
      <x:c r="Q19" s="2"/>
    </x:row>
    <x:row r="20">
      <x:c r="A20" s="2"/>
      <x:c r="B20" s="2"/>
      <x:c r="C20" s="2"/>
      <x:c r="D20" s="2"/>
      <x:c r="E20" s="2"/>
      <x:c r="F20" s="2"/>
      <x:c r="G20" s="2"/>
      <x:c r="H20" s="2" t="str">
        <x:v>Helper KPI</x:v>
      </x:c>
      <x:c r="I20" s="2" t="str">
        <x:v>Value</x:v>
      </x:c>
      <x:c r="J20" s="2"/>
      <x:c r="K20" s="2"/>
      <x:c r="L20" s="2"/>
      <x:c r="M20" s="2"/>
      <x:c r="N20" s="2"/>
      <x:c r="O20" s="2"/>
      <x:c r="P20" s="2"/>
      <x:c r="Q20" s="2"/>
    </x:row>
    <x:row r="21">
      <x:c r="A21" s="2"/>
      <x:c r="B21" s="2"/>
      <x:c r="C21" s="2"/>
      <x:c r="D21" s="2"/>
      <x:c r="E21" s="2"/>
      <x:c r="F21" s="2"/>
      <x:c r="G21" s="2"/>
      <x:c r="H21" s="2" t="str">
        <x:v>2027 landed mass</x:v>
      </x:c>
      <x:c r="I21" s="2" t="n">
        <x:f>M4</x:f>
        <x:v>1010</x:v>
      </x:c>
      <x:c r="J21" s="2"/>
      <x:c r="K21" s="2"/>
      <x:c r="L21" s="2"/>
      <x:c r="M21" s="2"/>
      <x:c r="N21" s="2"/>
      <x:c r="O21" s="2"/>
      <x:c r="P21" s="2"/>
      <x:c r="Q21" s="2"/>
    </x:row>
    <x:row r="22">
      <x:c r="A22" s="2"/>
      <x:c r="B22" s="2"/>
      <x:c r="C22" s="2"/>
      <x:c r="D22" s="2"/>
      <x:c r="E22" s="2"/>
      <x:c r="F22" s="2"/>
      <x:c r="G22" s="2"/>
      <x:c r="H22" s="2" t="str">
        <x:v>2028 landed mass</x:v>
      </x:c>
      <x:c r="I22" s="2" t="n">
        <x:f>M5</x:f>
        <x:v>2316</x:v>
      </x:c>
      <x:c r="J22" s="2"/>
      <x:c r="K22" s="2"/>
      <x:c r="L22" s="2"/>
      <x:c r="M22" s="2"/>
      <x:c r="N22" s="2"/>
      <x:c r="O22" s="2"/>
      <x:c r="P22" s="2"/>
      <x:c r="Q22" s="2"/>
    </x:row>
    <x:row r="23">
      <x:c r="A23" s="2"/>
      <x:c r="B23" s="2"/>
      <x:c r="C23" s="2"/>
      <x:c r="D23" s="2"/>
      <x:c r="E23" s="2"/>
      <x:c r="F23" s="2"/>
      <x:c r="G23" s="2"/>
      <x:c r="H23" s="2" t="str">
        <x:v>2028 reserved mass</x:v>
      </x:c>
      <x:c r="I23" s="2" t="n">
        <x:v>2500</x:v>
      </x:c>
      <x:c r="J23" s="2"/>
      <x:c r="K23" s="2"/>
      <x:c r="L23" s="2"/>
      <x:c r="M23" s="2"/>
      <x:c r="N23" s="2"/>
      <x:c r="O23" s="2"/>
      <x:c r="P23" s="2"/>
      <x:c r="Q23" s="2"/>
    </x:row>
    <x:row r="24">
      <x:c r="A24" s="2"/>
      <x:c r="B24" s="2"/>
      <x:c r="C24" s="2"/>
      <x:c r="D24" s="2"/>
      <x:c r="E24" s="2"/>
      <x:c r="F24" s="2"/>
      <x:c r="G24" s="2"/>
      <x:c r="H24" s="2"/>
      <x:c r="I24" s="2"/>
      <x:c r="J24" s="2"/>
      <x:c r="K24" s="2"/>
      <x:c r="L24" s="2"/>
      <x:c r="M24" s="2"/>
      <x:c r="N24" s="2"/>
      <x:c r="O24" s="2"/>
      <x:c r="P24" s="2"/>
      <x:c r="Q24" s="2"/>
    </x:row>
    <x:row r="25">
      <x:c r="A25" s="2"/>
      <x:c r="B25" s="2"/>
      <x:c r="C25" s="2"/>
      <x:c r="D25" s="2"/>
      <x:c r="E25" s="2"/>
      <x:c r="F25" s="2"/>
      <x:c r="G25" s="2"/>
      <x:c r="H25" s="2"/>
      <x:c r="I25" s="2"/>
      <x:c r="J25" s="2"/>
      <x:c r="K25" s="2"/>
      <x:c r="L25" s="2"/>
      <x:c r="M25" s="2"/>
      <x:c r="N25" s="2"/>
      <x:c r="O25" s="2"/>
      <x:c r="P25" s="2"/>
      <x:c r="Q25" s="2"/>
    </x:row>
    <x:row r="26">
      <x:c r="A26" s="2"/>
      <x:c r="B26" s="2"/>
      <x:c r="C26" s="2"/>
      <x:c r="D26" s="2"/>
      <x:c r="E26" s="2"/>
      <x:c r="F26" s="2"/>
      <x:c r="G26" s="2"/>
      <x:c r="H26" s="2"/>
      <x:c r="I26" s="2"/>
      <x:c r="J26" s="2"/>
      <x:c r="K26" s="2"/>
      <x:c r="L26" s="36" t="str">
        <x:v>Packaging Strategy</x:v>
      </x:c>
      <x:c r="M26" s="36" t="str">
        <x:v>2027</x:v>
      </x:c>
      <x:c r="N26" s="36" t="str">
        <x:v>2028</x:v>
      </x:c>
      <x:c r="O26" s="36" t="str">
        <x:v>Design Rule</x:v>
      </x:c>
      <x:c r="P26" s="2"/>
      <x:c r="Q26" s="2"/>
    </x:row>
    <x:row r="27">
      <x:c r="A27" s="2"/>
      <x:c r="B27" s="2"/>
      <x:c r="C27" s="2"/>
      <x:c r="D27" s="2"/>
      <x:c r="E27" s="2"/>
      <x:c r="F27" s="2"/>
      <x:c r="G27" s="2"/>
      <x:c r="H27" s="2"/>
      <x:c r="I27" s="2"/>
      <x:c r="J27" s="2"/>
      <x:c r="K27" s="2"/>
      <x:c r="L27" s="2" t="str">
        <x:v>Dense mass</x:v>
      </x:c>
      <x:c r="M27" s="2" t="str">
        <x:v>Battery modules</x:v>
      </x:c>
      <x:c r="N27" s="2" t="str">
        <x:v>Battery + PMAD</x:v>
      </x:c>
      <x:c r="O27" s="2" t="str">
        <x:v>Put near structural load paths</x:v>
      </x:c>
      <x:c r="P27" s="2"/>
      <x:c r="Q27" s="2"/>
    </x:row>
    <x:row r="28">
      <x:c r="A28" s="2"/>
      <x:c r="B28" s="2"/>
      <x:c r="C28" s="2"/>
      <x:c r="D28" s="2"/>
      <x:c r="E28" s="2"/>
      <x:c r="F28" s="2"/>
      <x:c r="G28" s="2"/>
      <x:c r="H28" s="2"/>
      <x:c r="I28" s="2"/>
      <x:c r="J28" s="2"/>
      <x:c r="K28" s="2"/>
      <x:c r="L28" s="2" t="str">
        <x:v>Planar/deployable</x:v>
      </x:c>
      <x:c r="M28" s="2" t="str">
        <x:v>Solar blanket/array</x:v>
      </x:c>
      <x:c r="N28" s="2" t="str">
        <x:v>Solar arrays</x:v>
      </x:c>
      <x:c r="O28" s="2" t="str">
        <x:v>Protect deployment volume</x:v>
      </x:c>
      <x:c r="P28" s="2"/>
      <x:c r="Q28" s="2"/>
    </x:row>
    <x:row r="29">
      <x:c r="A29" s="2"/>
      <x:c r="B29" s="2"/>
      <x:c r="C29" s="2"/>
      <x:c r="D29" s="2"/>
      <x:c r="E29" s="2"/>
      <x:c r="F29" s="2"/>
      <x:c r="G29" s="2"/>
      <x:c r="H29" s="2"/>
      <x:c r="I29" s="2"/>
      <x:c r="J29" s="2"/>
      <x:c r="K29" s="2"/>
      <x:c r="L29" s="2" t="str">
        <x:v>Long/spooled</x:v>
      </x:c>
      <x:c r="M29" s="2" t="str">
        <x:v>Cable + tubing</x:v>
      </x:c>
      <x:c r="N29" s="2" t="str">
        <x:v>Feeders + thermal loop</x:v>
      </x:c>
      <x:c r="O29" s="2" t="str">
        <x:v>Exploit annular / edge volume where allowed</x:v>
      </x:c>
      <x:c r="P29" s="2"/>
      <x:c r="Q29" s="2"/>
    </x:row>
    <x:row r="30">
      <x:c r="A30" s="2"/>
      <x:c r="B30" s="2"/>
      <x:c r="C30" s="2"/>
      <x:c r="D30" s="2"/>
      <x:c r="E30" s="2"/>
      <x:c r="F30" s="2"/>
      <x:c r="G30" s="2"/>
      <x:c r="H30" s="2"/>
      <x:c r="I30" s="2"/>
      <x:c r="J30" s="2"/>
      <x:c r="K30" s="2"/>
      <x:c r="L30" s="2" t="str">
        <x:v>Small boxes</x:v>
      </x:c>
      <x:c r="M30" s="2" t="str">
        <x:v>Sensors/EMS</x:v>
      </x:c>
      <x:c r="N30" s="2" t="str">
        <x:v>Controls/telemetry</x:v>
      </x:c>
      <x:c r="O30" s="2" t="str">
        <x:v>Piggyback-friendly</x:v>
      </x:c>
      <x:c r="P30" s="2"/>
      <x:c r="Q30" s="2"/>
    </x:row>
    <x:row r="31">
      <x:c r="A31" s="2"/>
      <x:c r="B31" s="2"/>
      <x:c r="C31" s="2"/>
      <x:c r="D31" s="2"/>
      <x:c r="E31" s="2"/>
      <x:c r="F31" s="2"/>
      <x:c r="G31" s="2"/>
      <x:c r="H31" s="2"/>
      <x:c r="I31" s="2"/>
      <x:c r="J31" s="2"/>
      <x:c r="K31" s="2"/>
      <x:c r="L31" s="2" t="str">
        <x:v>Irregular</x:v>
      </x:c>
      <x:c r="M31" s="2" t="str">
        <x:v>Tools / deployment aids</x:v>
      </x:c>
      <x:c r="N31" s="2" t="str">
        <x:v>Rover or handling hardware</x:v>
      </x:c>
      <x:c r="O31" s="2" t="str">
        <x:v>Consumes fairing volume quickly</x:v>
      </x:c>
      <x:c r="P31" s="2"/>
      <x:c r="Q31" s="2"/>
    </x:row>
    <x:row r="32">
      <x:c r="A32" s="2"/>
      <x:c r="B32" s="2"/>
      <x:c r="C32" s="2"/>
      <x:c r="D32" s="2"/>
      <x:c r="E32" s="2"/>
      <x:c r="F32" s="2"/>
      <x:c r="G32" s="2"/>
      <x:c r="H32" s="2"/>
      <x:c r="I32" s="2"/>
      <x:c r="J32" s="2"/>
      <x:c r="K32" s="2"/>
      <x:c r="L32" s="2"/>
      <x:c r="M32" s="2"/>
      <x:c r="N32" s="2"/>
      <x:c r="O32" s="2"/>
      <x:c r="P32" s="2"/>
      <x:c r="Q32" s="2"/>
    </x:row>
    <x:row r="33">
      <x:c r="A33" s="2"/>
      <x:c r="B33" s="2"/>
      <x:c r="C33" s="2"/>
      <x:c r="D33" s="2"/>
      <x:c r="E33" s="2"/>
      <x:c r="F33" s="2"/>
      <x:c r="G33" s="2"/>
      <x:c r="H33" s="2"/>
      <x:c r="I33" s="2"/>
      <x:c r="J33" s="2"/>
      <x:c r="K33" s="2"/>
      <x:c r="L33" s="2"/>
      <x:c r="M33" s="2"/>
      <x:c r="N33" s="2"/>
      <x:c r="O33" s="2"/>
      <x:c r="P33" s="2"/>
      <x:c r="Q33" s="2"/>
    </x:row>
    <x:row r="34">
      <x:c r="A34" s="2"/>
      <x:c r="B34" s="2"/>
      <x:c r="C34" s="2"/>
      <x:c r="D34" s="2"/>
      <x:c r="E34" s="2"/>
      <x:c r="F34" s="2"/>
      <x:c r="G34" s="2"/>
      <x:c r="H34" s="2"/>
      <x:c r="I34" s="2"/>
      <x:c r="J34" s="2"/>
      <x:c r="K34" s="2"/>
      <x:c r="L34" s="2"/>
      <x:c r="M34" s="2"/>
      <x:c r="N34" s="2"/>
      <x:c r="O34" s="2"/>
      <x:c r="P34" s="2"/>
      <x:c r="Q34" s="2"/>
    </x:row>
    <x:row r="35">
      <x:c r="A35" s="2"/>
      <x:c r="B35" s="2"/>
      <x:c r="C35" s="2"/>
      <x:c r="D35" s="2"/>
      <x:c r="E35" s="2"/>
      <x:c r="F35" s="2"/>
      <x:c r="G35" s="2"/>
      <x:c r="H35" s="2"/>
      <x:c r="I35" s="2"/>
      <x:c r="J35" s="2"/>
      <x:c r="K35" s="2"/>
      <x:c r="L35" s="2"/>
      <x:c r="M35" s="2"/>
      <x:c r="N35" s="2"/>
      <x:c r="O35" s="2"/>
      <x:c r="P35" s="2"/>
      <x:c r="Q35" s="2"/>
    </x:row>
    <x:row r="36">
      <x:c r="A36" s="2"/>
      <x:c r="B36" s="2"/>
      <x:c r="C36" s="2"/>
      <x:c r="D36" s="2"/>
      <x:c r="E36" s="2"/>
      <x:c r="F36" s="2"/>
      <x:c r="G36" s="2"/>
      <x:c r="H36" s="2"/>
      <x:c r="I36" s="2"/>
      <x:c r="J36" s="2"/>
      <x:c r="K36" s="2"/>
      <x:c r="L36" s="2"/>
      <x:c r="M36" s="2"/>
      <x:c r="N36" s="2"/>
      <x:c r="O36" s="2"/>
      <x:c r="P36" s="2"/>
      <x:c r="Q36" s="2"/>
    </x:row>
    <x:row r="37">
      <x:c r="A37" s="2"/>
      <x:c r="B37" s="2"/>
      <x:c r="C37" s="2"/>
      <x:c r="D37" s="2"/>
      <x:c r="E37" s="2"/>
      <x:c r="F37" s="2"/>
      <x:c r="G37" s="2"/>
      <x:c r="H37" s="2"/>
      <x:c r="I37" s="2"/>
      <x:c r="J37" s="2"/>
      <x:c r="K37" s="2"/>
      <x:c r="L37" s="2"/>
      <x:c r="M37" s="2"/>
      <x:c r="N37" s="2"/>
      <x:c r="O37" s="2"/>
      <x:c r="P37" s="2"/>
      <x:c r="Q37" s="2"/>
    </x:row>
    <x:row r="38">
      <x:c r="A38" s="2"/>
      <x:c r="B38" s="2"/>
      <x:c r="C38" s="2"/>
      <x:c r="D38" s="2"/>
      <x:c r="E38" s="2"/>
      <x:c r="F38" s="2"/>
      <x:c r="G38" s="2"/>
      <x:c r="H38" s="2"/>
      <x:c r="I38" s="2"/>
      <x:c r="J38" s="2"/>
      <x:c r="K38" s="2"/>
      <x:c r="L38" s="2"/>
      <x:c r="M38" s="2"/>
      <x:c r="N38" s="2"/>
      <x:c r="O38" s="2"/>
      <x:c r="P38" s="2"/>
      <x:c r="Q38" s="2"/>
    </x:row>
    <x:row r="39">
      <x:c r="A39" s="2"/>
      <x:c r="B39" s="2"/>
      <x:c r="C39" s="2"/>
      <x:c r="D39" s="2"/>
      <x:c r="E39" s="2"/>
      <x:c r="F39" s="2"/>
      <x:c r="G39" s="2"/>
      <x:c r="H39" s="2"/>
      <x:c r="I39" s="2"/>
      <x:c r="J39" s="2"/>
      <x:c r="K39" s="2"/>
      <x:c r="L39" s="2"/>
      <x:c r="M39" s="2"/>
      <x:c r="N39" s="2"/>
      <x:c r="O39" s="2"/>
      <x:c r="P39" s="2"/>
      <x:c r="Q39" s="2"/>
    </x:row>
    <x:row r="40">
      <x:c r="A40" s="2"/>
      <x:c r="B40" s="2"/>
      <x:c r="C40" s="2"/>
      <x:c r="D40" s="2"/>
      <x:c r="E40" s="2"/>
      <x:c r="F40" s="2"/>
      <x:c r="G40" s="2"/>
      <x:c r="H40" s="2"/>
      <x:c r="I40" s="2"/>
      <x:c r="J40" s="2"/>
      <x:c r="K40" s="2"/>
      <x:c r="L40" s="2"/>
      <x:c r="M40" s="2"/>
      <x:c r="N40" s="2"/>
      <x:c r="O40" s="2"/>
      <x:c r="P40" s="2"/>
      <x:c r="Q40" s="2"/>
    </x:row>
  </x:sheetData>
  <x:mergeCells>
    <x:mergeCell ref="A1:J1"/>
  </x:mergeCells>
  <x:conditionalFormatting sqref="C4:C17">
    <x:cfRule type="expression" dxfId="4" priority="1">
      <x:formula>C4="Must fly"</x:formula>
    </x:cfRule>
    <x:cfRule type="expression" dxfId="5" priority="2">
      <x:formula>C4="Should fly"</x:formula>
    </x:cfRule>
  </x:conditionalFormatting>
  <x:pageMargins left="0.7" right="0.7" top="0.75" bottom="0.75" header="0.3" footer="0.3"/>
  <x:drawing xmlns:r="http://schemas.openxmlformats.org/officeDocument/2006/relationships" r:id="R4a7dabe9e7654d8b"/>
</x:worksheet>
</file>

<file path=xl/worksheets/sheet13.xml><?xml version="1.0" encoding="utf-8"?>
<x:worksheet xmlns:x="http://schemas.openxmlformats.org/spreadsheetml/2006/main">
  <x:sheetFormatPr defaultRowHeight="15"/>
  <x:cols>
    <x:col min="1" max="1" width="24" hidden="0" customWidth="1"/>
    <x:col min="2" max="2" width="18" hidden="0" customWidth="1"/>
    <x:col min="3" max="3" width="18" hidden="0" customWidth="1"/>
    <x:col min="4" max="4" width="14" hidden="0" customWidth="1"/>
    <x:col min="5" max="5" width="30" hidden="0" customWidth="1"/>
    <x:col min="6" max="6" width="18" hidden="0" customWidth="1"/>
    <x:col min="7" max="7" width="54" hidden="0" customWidth="1"/>
    <x:col min="8" max="8" width="56" hidden="0" customWidth="1"/>
  </x:cols>
  <x:sheetData>
    <x:row r="1">
      <x:c r="A1" s="60" t="str">
        <x:v>Shackleton / Lunar South Pole Illumination Planning Assumptions</x:v>
      </x:c>
      <x:c r="B1" s="60"/>
      <x:c r="C1" s="60"/>
      <x:c r="D1" s="60"/>
      <x:c r="E1" s="60"/>
      <x:c r="F1" s="60"/>
      <x:c r="G1" s="60"/>
      <x:c r="H1" s="60"/>
    </x:row>
    <x:row r="2">
      <x:c r="A2" s="2"/>
      <x:c r="B2" s="2"/>
      <x:c r="C2" s="2"/>
      <x:c r="D2" s="2"/>
      <x:c r="E2" s="2"/>
      <x:c r="F2" s="2"/>
      <x:c r="G2" s="2"/>
      <x:c r="H2" s="2"/>
    </x:row>
    <x:row r="3">
      <x:c r="A3" s="61" t="str">
        <x:v>Scenario</x:v>
      </x:c>
      <x:c r="B3" s="61" t="str">
        <x:v>Avg Illumination</x:v>
      </x:c>
      <x:c r="C3" s="61" t="str">
        <x:v>Stress Darkness h</x:v>
      </x:c>
      <x:c r="D3" s="61" t="str">
        <x:v>Use in Model?</x:v>
      </x:c>
      <x:c r="E3" s="61" t="str">
        <x:v>Interpretation</x:v>
      </x:c>
      <x:c r="F3" s="61" t="str">
        <x:v>Source</x:v>
      </x:c>
      <x:c r="G3" s="61" t="str">
        <x:v>Source URL</x:v>
      </x:c>
      <x:c r="H3" s="61" t="str">
        <x:v>Notes</x:v>
      </x:c>
    </x:row>
    <x:row r="4">
      <x:c r="A4" s="2" t="str">
        <x:v>Conservative South Pole</x:v>
      </x:c>
      <x:c r="B4" s="22" t="n">
        <x:v>0.7</x:v>
      </x:c>
      <x:c r="C4" s="20" t="n">
        <x:v>96</x:v>
      </x:c>
      <x:c r="D4" s="2" t="str">
        <x:v>Low case</x:v>
      </x:c>
      <x:c r="E4" s="2" t="str">
        <x:v>Older worst-case planning point</x:v>
      </x:c>
      <x:c r="F4" s="2" t="str">
        <x:v>NASA NTRS 2007</x:v>
      </x:c>
      <x:c r="G4" s="2" t="str">
        <x:v>https://ntrs.nasa.gov/citations/20070034951</x:v>
      </x:c>
      <x:c r="H4" s="2" t="str">
        <x:v>Older analysis reported ~0.71 illumination and 73–117 h storage durations</x:v>
      </x:c>
    </x:row>
    <x:row r="5">
      <x:c r="A5" s="2" t="str">
        <x:v>Shackleton rim planning</x:v>
      </x:c>
      <x:c r="B5" s="22" t="n">
        <x:v>0.85</x:v>
      </x:c>
      <x:c r="C5" s="20" t="n">
        <x:v>60</x:v>
      </x:c>
      <x:c r="D5" s="2" t="str">
        <x:v>Nominal</x:v>
      </x:c>
      <x:c r="E5" s="2" t="str">
        <x:v>High-illumination individual rim site</x:v>
      </x:c>
      <x:c r="F5" s="2" t="str">
        <x:v>NASA NTRS 2017</x:v>
      </x:c>
      <x:c r="G5" s="2" t="str">
        <x:v>https://ntrs.nasa.gov/citations/20170007365</x:v>
      </x:c>
      <x:c r="H5" s="2" t="str">
        <x:v>High-performing south-pole sites ~77–88% at 2 m height; Shackleton clusters up to mid-80%</x:v>
      </x:c>
    </x:row>
    <x:row r="6">
      <x:c r="A6" s="2" t="str">
        <x:v>Distributed rim / ridge</x:v>
      </x:c>
      <x:c r="B6" s="22" t="n">
        <x:v>0.9</x:v>
      </x:c>
      <x:c r="C6" s="20" t="n">
        <x:v>36</x:v>
      </x:c>
      <x:c r="D6" s="2" t="str">
        <x:v>High case</x:v>
      </x:c>
      <x:c r="E6" s="2" t="str">
        <x:v>Multiple high points / distributed collection</x:v>
      </x:c>
      <x:c r="F6" s="2" t="str">
        <x:v>NASA Science</x:v>
      </x:c>
      <x:c r="G6" s="2" t="str">
        <x:v>https://science.nasa.gov/resource/shackleton-craters-illuminated-rim-shadowed-interior/</x:v>
      </x:c>
      <x:c r="H6" s="2" t="str">
        <x:v>Three points on Shackleton rim collectively sunlit &gt;90% of year</x:v>
      </x:c>
    </x:row>
    <x:row r="7">
      <x:c r="A7" s="2" t="str">
        <x:v>Near-continuous network</x:v>
      </x:c>
      <x:c r="B7" s="22" t="n">
        <x:v>0.94</x:v>
      </x:c>
      <x:c r="C7" s="20" t="n">
        <x:v>24</x:v>
      </x:c>
      <x:c r="D7" s="2" t="str">
        <x:v>Stretch</x:v>
      </x:c>
      <x:c r="E7" s="2" t="str">
        <x:v>Multiple selected points collectively</x:v>
      </x:c>
      <x:c r="F7" s="2" t="str">
        <x:v>NASA concept study</x:v>
      </x:c>
      <x:c r="G7" s="2" t="str">
        <x:v>https://www.nasa.gov/general/trans-formers-for-lunar-extreme-environments-ensuring-long-term-operations-in-regions-of-darkness-and-low-temperatures/</x:v>
      </x:c>
      <x:c r="H7" s="2" t="str">
        <x:v>Concept work cites ~94% collective illumination from multiple points</x:v>
      </x:c>
    </x:row>
    <x:row r="8">
      <x:c r="A8" s="2" t="str">
        <x:v>Site-specific measured</x:v>
      </x:c>
      <x:c r="B8" s="22"/>
      <x:c r="C8" s="20"/>
      <x:c r="D8" s="2" t="str">
        <x:v>Future</x:v>
      </x:c>
      <x:c r="E8" s="2" t="str">
        <x:v>Replace planning values with mission site/horizon model</x:v>
      </x:c>
      <x:c r="F8" s="2" t="str">
        <x:v>TBD</x:v>
      </x:c>
      <x:c r="G8" s="2" t="str">
        <x:v>TBD</x:v>
      </x:c>
      <x:c r="H8" s="2" t="str">
        <x:v>Do not use '24-hour sunlight' as an absolute without site-specific horizon/season analysis</x:v>
      </x:c>
    </x:row>
    <x:row r="9">
      <x:c r="A9" s="2"/>
      <x:c r="B9" s="2"/>
      <x:c r="C9" s="2"/>
      <x:c r="D9" s="2"/>
      <x:c r="E9" s="2"/>
      <x:c r="F9" s="2"/>
      <x:c r="G9" s="2"/>
      <x:c r="H9" s="2"/>
    </x:row>
    <x:row r="10">
      <x:c r="A10" s="2"/>
      <x:c r="B10" s="2"/>
      <x:c r="C10" s="2"/>
      <x:c r="D10" s="2"/>
      <x:c r="E10" s="2"/>
      <x:c r="F10" s="2"/>
      <x:c r="G10" s="2"/>
      <x:c r="H10" s="2"/>
    </x:row>
    <x:row r="11">
      <x:c r="A11" s="2"/>
      <x:c r="B11" s="2"/>
      <x:c r="C11" s="2"/>
      <x:c r="D11" s="2"/>
      <x:c r="E11" s="2"/>
      <x:c r="F11" s="2"/>
      <x:c r="G11" s="2"/>
      <x:c r="H11" s="2"/>
    </x:row>
    <x:row r="12">
      <x:c r="A12" s="2"/>
      <x:c r="B12" s="2"/>
      <x:c r="C12" s="2"/>
      <x:c r="D12" s="2"/>
      <x:c r="E12" s="2"/>
      <x:c r="F12" s="2"/>
      <x:c r="G12" s="2"/>
      <x:c r="H12" s="2"/>
    </x:row>
  </x:sheetData>
  <x:mergeCells>
    <x:mergeCell ref="A1:H1"/>
  </x:mergeCells>
  <x:pageMargins left="0.7" right="0.7" top="0.75" bottom="0.75" header="0.3" footer="0.3"/>
</x:worksheet>
</file>

<file path=xl/worksheets/sheet14.xml><?xml version="1.0" encoding="utf-8"?>
<x:worksheet xmlns:x="http://schemas.openxmlformats.org/spreadsheetml/2006/main">
  <x:sheetFormatPr defaultRowHeight="15"/>
  <x:cols>
    <x:col min="1" max="1" width="22" hidden="0" customWidth="1"/>
    <x:col min="2" max="2" width="14" hidden="0" customWidth="1"/>
    <x:col min="3" max="3" width="12" hidden="0" customWidth="1"/>
    <x:col min="4" max="4" width="34" hidden="0" customWidth="1"/>
    <x:col min="6" max="6" width="30" hidden="0" customWidth="1"/>
    <x:col min="7" max="7" width="8" hidden="0" customWidth="1"/>
    <x:col min="8" max="8" width="10" hidden="0" customWidth="1"/>
    <x:col min="9" max="9" width="12" hidden="0" customWidth="1"/>
    <x:col min="10" max="10" width="10" hidden="0" customWidth="1"/>
    <x:col min="11" max="11" width="16" hidden="0" customWidth="1"/>
    <x:col min="12" max="12" width="15" hidden="0" customWidth="1"/>
    <x:col min="13" max="13" width="12" hidden="0" customWidth="1"/>
    <x:col min="14" max="14" width="48" hidden="0" customWidth="1"/>
    <x:col min="16" max="16" width="8" hidden="0" customWidth="1"/>
    <x:col min="17" max="17" width="30" hidden="0" customWidth="1"/>
    <x:col min="18" max="18" width="10" hidden="0" customWidth="1"/>
    <x:col min="19" max="19" width="14" hidden="0" customWidth="1"/>
    <x:col min="20" max="20" width="10" hidden="0" customWidth="1"/>
    <x:col min="21" max="21" width="12" hidden="0" customWidth="1"/>
    <x:col min="22" max="22" width="16" hidden="0" customWidth="1"/>
  </x:cols>
  <x:sheetData>
    <x:row r="1">
      <x:c r="A1" s="60" t="str">
        <x:v>Deficit Cascade / Load Auction — Priority-Based Power Allocation</x:v>
      </x:c>
      <x:c r="B1" s="60"/>
      <x:c r="C1" s="60"/>
      <x:c r="D1" s="60"/>
      <x:c r="E1" s="60"/>
      <x:c r="F1" s="60"/>
      <x:c r="G1" s="60"/>
      <x:c r="H1" s="60"/>
      <x:c r="I1" s="60"/>
      <x:c r="J1" s="60"/>
      <x:c r="K1" s="60"/>
      <x:c r="L1" s="60"/>
      <x:c r="M1" s="60"/>
      <x:c r="N1" s="60"/>
      <x:c r="O1" s="2"/>
      <x:c r="P1" s="2"/>
      <x:c r="Q1" s="2"/>
      <x:c r="R1" s="2"/>
      <x:c r="S1" s="2"/>
      <x:c r="T1" s="2"/>
      <x:c r="U1" s="2"/>
      <x:c r="V1" s="2"/>
    </x:row>
    <x:row r="2">
      <x:c r="A2" s="2"/>
      <x:c r="B2" s="2"/>
      <x:c r="C2" s="2"/>
      <x:c r="D2" s="2"/>
      <x:c r="E2" s="2"/>
      <x:c r="F2" s="2"/>
      <x:c r="G2" s="2"/>
      <x:c r="H2" s="2"/>
      <x:c r="I2" s="2"/>
      <x:c r="J2" s="2"/>
      <x:c r="K2" s="2"/>
      <x:c r="L2" s="2"/>
      <x:c r="M2" s="2"/>
      <x:c r="N2" s="2"/>
      <x:c r="O2" s="2"/>
      <x:c r="P2" s="2"/>
      <x:c r="Q2" s="2"/>
      <x:c r="R2" s="2"/>
      <x:c r="S2" s="2"/>
      <x:c r="T2" s="2"/>
      <x:c r="U2" s="2"/>
      <x:c r="V2" s="2"/>
    </x:row>
    <x:row r="3">
      <x:c r="A3" s="61" t="str">
        <x:v>SCENARIO INPUT</x:v>
      </x:c>
      <x:c r="B3" s="61" t="str">
        <x:v>VALUE</x:v>
      </x:c>
      <x:c r="C3" s="61" t="str">
        <x:v>UNITS</x:v>
      </x:c>
      <x:c r="D3" s="61" t="str">
        <x:v>NOTE</x:v>
      </x:c>
      <x:c r="E3" s="2"/>
      <x:c r="F3" s="61" t="str">
        <x:v>Subsystem</x:v>
      </x:c>
      <x:c r="G3" s="61" t="str">
        <x:v>Tier</x:v>
      </x:c>
      <x:c r="H3" s="61" t="str">
        <x:v>Min kW</x:v>
      </x:c>
      <x:c r="I3" s="61" t="str">
        <x:v>Nominal kW</x:v>
      </x:c>
      <x:c r="J3" s="61" t="str">
        <x:v>Max kW</x:v>
      </x:c>
      <x:c r="K3" s="61" t="str">
        <x:v>Max Interrupt h</x:v>
      </x:c>
      <x:c r="L3" s="61" t="str">
        <x:v>Restart Penalty</x:v>
      </x:c>
      <x:c r="M3" s="61" t="str">
        <x:v>Current Bid</x:v>
      </x:c>
      <x:c r="N3" s="61" t="str">
        <x:v>Cascade / Consequence</x:v>
      </x:c>
      <x:c r="O3" s="2"/>
      <x:c r="P3" s="61" t="str">
        <x:v>Rank</x:v>
      </x:c>
      <x:c r="Q3" s="61" t="str">
        <x:v>Subsystem</x:v>
      </x:c>
      <x:c r="R3" s="61" t="str">
        <x:v>Bid</x:v>
      </x:c>
      <x:c r="S3" s="61" t="str">
        <x:v>Allocated kW</x:v>
      </x:c>
      <x:c r="T3" s="61" t="str">
        <x:v>Min kW</x:v>
      </x:c>
      <x:c r="U3" s="61" t="str">
        <x:v>Nominal kW</x:v>
      </x:c>
      <x:c r="V3" s="61" t="str">
        <x:v>State</x:v>
      </x:c>
    </x:row>
    <x:row r="4">
      <x:c r="A4" s="2" t="str">
        <x:v>Available power</x:v>
      </x:c>
      <x:c r="B4" s="20" t="n">
        <x:v>14</x:v>
      </x:c>
      <x:c r="C4" s="2" t="str">
        <x:v>kW</x:v>
      </x:c>
      <x:c r="D4" s="2" t="str">
        <x:v>Editable stress-case input</x:v>
      </x:c>
      <x:c r="E4" s="2"/>
      <x:c r="F4" s="2" t="str">
        <x:v>Minimum ECLSS</x:v>
      </x:c>
      <x:c r="G4" s="2" t="n">
        <x:v>0</x:v>
      </x:c>
      <x:c r="H4" s="20" t="n">
        <x:v>3.5</x:v>
      </x:c>
      <x:c r="I4" s="20" t="n">
        <x:v>4.6</x:v>
      </x:c>
      <x:c r="J4" s="20" t="n">
        <x:v>5.5</x:v>
      </x:c>
      <x:c r="K4" s="2" t="n">
        <x:v>0</x:v>
      </x:c>
      <x:c r="L4" s="2" t="n">
        <x:v>5</x:v>
      </x:c>
      <x:c r="M4" s="2" t="n">
        <x:v>100</x:v>
      </x:c>
      <x:c r="N4" s="2" t="str">
        <x:v>CO₂ removal / circulation / water loops; crew survival</x:v>
      </x:c>
      <x:c r="O4" s="2"/>
      <x:c r="P4" s="2" t="n">
        <x:v>1</x:v>
      </x:c>
      <x:c r="Q4" s="2" t="str">
        <x:v>Reactor / source safety controls</x:v>
      </x:c>
      <x:c r="R4" s="2" t="n">
        <x:v>99</x:v>
      </x:c>
      <x:c r="S4" s="20" t="n">
        <x:f>MIN(U4,MAX(0,$B$4))</x:f>
        <x:v>0.3</x:v>
      </x:c>
      <x:c r="T4" s="20" t="n">
        <x:v>0.2</x:v>
      </x:c>
      <x:c r="U4" s="20" t="n">
        <x:v>0.3</x:v>
      </x:c>
      <x:c r="V4" s="2" t="str">
        <x:f>IF(S4&gt;=U4,"NOMINAL",IF(S4&gt;=T4,"DEGRADED",IF(S4&gt;0,"BELOW MIN","SHED")))</x:f>
        <x:v>NOMINAL</x:v>
      </x:c>
    </x:row>
    <x:row r="5">
      <x:c r="A5" s="2" t="str">
        <x:v>Requested nominal load</x:v>
      </x:c>
      <x:c r="B5" s="20" t="n">
        <x:f>SUM(I4:I19)</x:f>
        <x:v>12.800000000000002</x:v>
      </x:c>
      <x:c r="C5" s="2" t="str">
        <x:v>kW</x:v>
      </x:c>
      <x:c r="D5" s="2" t="str">
        <x:v>Sum of nominal bids</x:v>
      </x:c>
      <x:c r="E5" s="2"/>
      <x:c r="F5" s="2" t="str">
        <x:v>Thermal survival</x:v>
      </x:c>
      <x:c r="G5" s="2" t="n">
        <x:v>0</x:v>
      </x:c>
      <x:c r="H5" s="20" t="n">
        <x:v>1</x:v>
      </x:c>
      <x:c r="I5" s="20" t="n">
        <x:v>1.8</x:v>
      </x:c>
      <x:c r="J5" s="20" t="n">
        <x:v>2.5</x:v>
      </x:c>
      <x:c r="K5" s="2" t="n">
        <x:v>0</x:v>
      </x:c>
      <x:c r="L5" s="2" t="n">
        <x:v>5</x:v>
      </x:c>
      <x:c r="M5" s="2" t="n">
        <x:v>98</x:v>
      </x:c>
      <x:c r="N5" s="2" t="str">
        <x:v>Loss can drive habitat/equipment outside thermal limits</x:v>
      </x:c>
      <x:c r="O5" s="2"/>
      <x:c r="P5" s="2" t="n">
        <x:v>2</x:v>
      </x:c>
      <x:c r="Q5" s="2" t="str">
        <x:v>Minimum ECLSS</x:v>
      </x:c>
      <x:c r="R5" s="2" t="n">
        <x:v>100</x:v>
      </x:c>
      <x:c r="S5" s="20" t="n">
        <x:f>MIN(U5,MAX(0,$B$4-SUM($S$4:S4)))</x:f>
        <x:v>4.6</x:v>
      </x:c>
      <x:c r="T5" s="20" t="n">
        <x:v>3.5</x:v>
      </x:c>
      <x:c r="U5" s="20" t="n">
        <x:v>4.6</x:v>
      </x:c>
      <x:c r="V5" s="2" t="str">
        <x:f>IF(S5&gt;=U5,"NOMINAL",IF(S5&gt;=T5,"DEGRADED",IF(S5&gt;0,"BELOW MIN","SHED")))</x:f>
        <x:v>NOMINAL</x:v>
      </x:c>
    </x:row>
    <x:row r="6">
      <x:c r="A6" s="2" t="str">
        <x:v>Deficit</x:v>
      </x:c>
      <x:c r="B6" s="20" t="n">
        <x:f>MAX(0,B5-B4)</x:f>
        <x:v>0</x:v>
      </x:c>
      <x:c r="C6" s="2" t="str">
        <x:v>kW</x:v>
      </x:c>
      <x:c r="D6" s="2" t="str">
        <x:v>Requested minus available</x:v>
      </x:c>
      <x:c r="E6" s="2"/>
      <x:c r="F6" s="2" t="str">
        <x:v>Command / avionics / PNT</x:v>
      </x:c>
      <x:c r="G6" s="2" t="n">
        <x:v>0</x:v>
      </x:c>
      <x:c r="H6" s="20" t="n">
        <x:v>0.4</x:v>
      </x:c>
      <x:c r="I6" s="20" t="n">
        <x:v>0.7</x:v>
      </x:c>
      <x:c r="J6" s="20" t="n">
        <x:v>1</x:v>
      </x:c>
      <x:c r="K6" s="2" t="n">
        <x:v>0</x:v>
      </x:c>
      <x:c r="L6" s="2" t="n">
        <x:v>5</x:v>
      </x:c>
      <x:c r="M6" s="2" t="n">
        <x:v>96</x:v>
      </x:c>
      <x:c r="N6" s="2" t="str">
        <x:v>Loss degrades control, timing, navigation, fault response</x:v>
      </x:c>
      <x:c r="O6" s="2"/>
      <x:c r="P6" s="2" t="n">
        <x:v>3</x:v>
      </x:c>
      <x:c r="Q6" s="2" t="str">
        <x:v>Thermal survival</x:v>
      </x:c>
      <x:c r="R6" s="2" t="n">
        <x:v>98</x:v>
      </x:c>
      <x:c r="S6" s="20" t="n">
        <x:f>MIN(U6,MAX(0,$B$4-SUM($S$4:S5)))</x:f>
        <x:v>1.8</x:v>
      </x:c>
      <x:c r="T6" s="20" t="n">
        <x:v>1</x:v>
      </x:c>
      <x:c r="U6" s="20" t="n">
        <x:v>1.8</x:v>
      </x:c>
      <x:c r="V6" s="2" t="str">
        <x:f>IF(S6&gt;=U6,"NOMINAL",IF(S6&gt;=T6,"DEGRADED",IF(S6&gt;0,"BELOW MIN","SHED")))</x:f>
        <x:v>NOMINAL</x:v>
      </x:c>
    </x:row>
    <x:row r="7">
      <x:c r="A7" s="2" t="str">
        <x:v>Critical minimum required</x:v>
      </x:c>
      <x:c r="B7" s="20" t="n">
        <x:f>SUMIF(G4:G19,0,H4:H19)</x:f>
        <x:v>5.65</x:v>
      </x:c>
      <x:c r="C7" s="2" t="str">
        <x:v>kW</x:v>
      </x:c>
      <x:c r="D7" s="2" t="str">
        <x:v>Sum of Tier 0 minimums</x:v>
      </x:c>
      <x:c r="E7" s="2"/>
      <x:c r="F7" s="2" t="str">
        <x:v>Emergency communications</x:v>
      </x:c>
      <x:c r="G7" s="2" t="n">
        <x:v>0</x:v>
      </x:c>
      <x:c r="H7" s="20" t="n">
        <x:v>0.3</x:v>
      </x:c>
      <x:c r="I7" s="20" t="n">
        <x:v>0.8</x:v>
      </x:c>
      <x:c r="J7" s="20" t="n">
        <x:v>1.2</x:v>
      </x:c>
      <x:c r="K7" s="2" t="n">
        <x:v>0</x:v>
      </x:c>
      <x:c r="L7" s="2" t="n">
        <x:v>4</x:v>
      </x:c>
      <x:c r="M7" s="2" t="n">
        <x:v>94</x:v>
      </x:c>
      <x:c r="N7" s="2" t="str">
        <x:v>Loss removes Earth/surface coordination and distress path</x:v>
      </x:c>
      <x:c r="O7" s="2"/>
      <x:c r="P7" s="2" t="n">
        <x:v>4</x:v>
      </x:c>
      <x:c r="Q7" s="2" t="str">
        <x:v>Command / avionics / PNT</x:v>
      </x:c>
      <x:c r="R7" s="2" t="n">
        <x:v>96</x:v>
      </x:c>
      <x:c r="S7" s="20" t="n">
        <x:f>MIN(U7,MAX(0,$B$4-SUM($S$4:S6)))</x:f>
        <x:v>0.7</x:v>
      </x:c>
      <x:c r="T7" s="20" t="n">
        <x:v>0.4</x:v>
      </x:c>
      <x:c r="U7" s="20" t="n">
        <x:v>0.7</x:v>
      </x:c>
      <x:c r="V7" s="2" t="str">
        <x:f>IF(S7&gt;=U7,"NOMINAL",IF(S7&gt;=T7,"DEGRADED",IF(S7&gt;0,"BELOW MIN","SHED")))</x:f>
        <x:v>NOMINAL</x:v>
      </x:c>
    </x:row>
    <x:row r="8">
      <x:c r="A8" s="2" t="str">
        <x:v>System state</x:v>
      </x:c>
      <x:c r="B8" s="2" t="str">
        <x:f>IF(B4&lt;B7,"SURVIVAL SHORTFALL",IF(B6=0,"POWER POSITIVE","CONTROLLED DEFICIT"))</x:f>
        <x:v>POWER POSITIVE</x:v>
      </x:c>
      <x:c r="C8" s="2" t="str"/>
      <x:c r="D8" s="2" t="str">
        <x:v>Derived from unmet critical minimum</x:v>
      </x:c>
      <x:c r="E8" s="2"/>
      <x:c r="F8" s="2" t="str">
        <x:v>Battery / node survival heaters</x:v>
      </x:c>
      <x:c r="G8" s="2" t="n">
        <x:v>0</x:v>
      </x:c>
      <x:c r="H8" s="20" t="n">
        <x:v>0.25</x:v>
      </x:c>
      <x:c r="I8" s="20" t="n">
        <x:v>0.4</x:v>
      </x:c>
      <x:c r="J8" s="20" t="n">
        <x:v>0.7</x:v>
      </x:c>
      <x:c r="K8" s="2" t="n">
        <x:v>0</x:v>
      </x:c>
      <x:c r="L8" s="2" t="n">
        <x:v>5</x:v>
      </x:c>
      <x:c r="M8" s="2" t="n">
        <x:v>93</x:v>
      </x:c>
      <x:c r="N8" s="2" t="str">
        <x:v>Cold-soak can make storage or nodes unavailable</x:v>
      </x:c>
      <x:c r="O8" s="2"/>
      <x:c r="P8" s="2" t="n">
        <x:v>5</x:v>
      </x:c>
      <x:c r="Q8" s="2" t="str">
        <x:v>Emergency communications</x:v>
      </x:c>
      <x:c r="R8" s="2" t="n">
        <x:v>94</x:v>
      </x:c>
      <x:c r="S8" s="20" t="n">
        <x:f>MIN(U8,MAX(0,$B$4-SUM($S$4:S7)))</x:f>
        <x:v>0.8</x:v>
      </x:c>
      <x:c r="T8" s="20" t="n">
        <x:v>0.3</x:v>
      </x:c>
      <x:c r="U8" s="20" t="n">
        <x:v>0.8</x:v>
      </x:c>
      <x:c r="V8" s="2" t="str">
        <x:f>IF(S8&gt;=U8,"NOMINAL",IF(S8&gt;=T8,"DEGRADED",IF(S8&gt;0,"BELOW MIN","SHED")))</x:f>
        <x:v>NOMINAL</x:v>
      </x:c>
    </x:row>
    <x:row r="9">
      <x:c r="A9" s="2"/>
      <x:c r="B9" s="2"/>
      <x:c r="C9" s="2"/>
      <x:c r="D9" s="2"/>
      <x:c r="E9" s="2"/>
      <x:c r="F9" s="2" t="str">
        <x:v>Reactor / source safety controls</x:v>
      </x:c>
      <x:c r="G9" s="2" t="n">
        <x:v>0</x:v>
      </x:c>
      <x:c r="H9" s="20" t="n">
        <x:v>0.2</x:v>
      </x:c>
      <x:c r="I9" s="20" t="n">
        <x:v>0.3</x:v>
      </x:c>
      <x:c r="J9" s="20" t="n">
        <x:v>0.5</x:v>
      </x:c>
      <x:c r="K9" s="2" t="n">
        <x:v>0</x:v>
      </x:c>
      <x:c r="L9" s="2" t="n">
        <x:v>5</x:v>
      </x:c>
      <x:c r="M9" s="2" t="n">
        <x:v>99</x:v>
      </x:c>
      <x:c r="N9" s="2" t="str">
        <x:v>Source protection and safe-state control</x:v>
      </x:c>
      <x:c r="O9" s="2"/>
      <x:c r="P9" s="2" t="n">
        <x:v>6</x:v>
      </x:c>
      <x:c r="Q9" s="2" t="str">
        <x:v>Battery / node survival heaters</x:v>
      </x:c>
      <x:c r="R9" s="2" t="n">
        <x:v>93</x:v>
      </x:c>
      <x:c r="S9" s="20" t="n">
        <x:f>MIN(U9,MAX(0,$B$4-SUM($S$4:S8)))</x:f>
        <x:v>0.4</x:v>
      </x:c>
      <x:c r="T9" s="20" t="n">
        <x:v>0.25</x:v>
      </x:c>
      <x:c r="U9" s="20" t="n">
        <x:v>0.4</x:v>
      </x:c>
      <x:c r="V9" s="2" t="str">
        <x:f>IF(S9&gt;=U9,"NOMINAL",IF(S9&gt;=T9,"DEGRADED",IF(S9&gt;0,"BELOW MIN","SHED")))</x:f>
        <x:v>NOMINAL</x:v>
      </x:c>
    </x:row>
    <x:row r="10">
      <x:c r="A10" s="2"/>
      <x:c r="B10" s="2"/>
      <x:c r="C10" s="2"/>
      <x:c r="D10" s="2"/>
      <x:c r="E10" s="2"/>
      <x:c r="F10" s="2" t="str">
        <x:v>Plant pumps / life support</x:v>
      </x:c>
      <x:c r="G10" s="2" t="n">
        <x:v>1</x:v>
      </x:c>
      <x:c r="H10" s="20" t="n">
        <x:v>0.25</x:v>
      </x:c>
      <x:c r="I10" s="20" t="n">
        <x:v>0.75</x:v>
      </x:c>
      <x:c r="J10" s="20" t="n">
        <x:v>1.2</x:v>
      </x:c>
      <x:c r="K10" s="2" t="n">
        <x:v>2</x:v>
      </x:c>
      <x:c r="L10" s="2" t="n">
        <x:v>4</x:v>
      </x:c>
      <x:c r="M10" s="2" t="n">
        <x:v>80</x:v>
      </x:c>
      <x:c r="N10" s="2" t="str">
        <x:v>Protect crop roots and fluid circulation before lighting</x:v>
      </x:c>
      <x:c r="O10" s="2"/>
      <x:c r="P10" s="2" t="n">
        <x:v>7</x:v>
      </x:c>
      <x:c r="Q10" s="2" t="str">
        <x:v>Plant pumps / life support</x:v>
      </x:c>
      <x:c r="R10" s="2" t="n">
        <x:v>80</x:v>
      </x:c>
      <x:c r="S10" s="20" t="n">
        <x:f>MIN(U10,MAX(0,$B$4-SUM($S$4:S9)))</x:f>
        <x:v>0.75</x:v>
      </x:c>
      <x:c r="T10" s="20" t="n">
        <x:v>0.25</x:v>
      </x:c>
      <x:c r="U10" s="20" t="n">
        <x:v>0.75</x:v>
      </x:c>
      <x:c r="V10" s="2" t="str">
        <x:f>IF(S10&gt;=U10,"NOMINAL",IF(S10&gt;=T10,"DEGRADED",IF(S10&gt;0,"BELOW MIN","SHED")))</x:f>
        <x:v>NOMINAL</x:v>
      </x:c>
    </x:row>
    <x:row r="11">
      <x:c r="A11" s="61" t="str">
        <x:v>Available kW</x:v>
      </x:c>
      <x:c r="B11" s="61" t="str">
        <x:v>Deficit kW</x:v>
      </x:c>
      <x:c r="C11" s="61" t="str">
        <x:v>Tier 0 Met?</x:v>
      </x:c>
      <x:c r="D11" s="61" t="str">
        <x:v>Nominal Served %</x:v>
      </x:c>
      <x:c r="E11" s="61" t="str">
        <x:v>Interpretation</x:v>
      </x:c>
      <x:c r="F11" s="2" t="str">
        <x:v>EM Management System</x:v>
      </x:c>
      <x:c r="G11" s="2" t="n">
        <x:v>1</x:v>
      </x:c>
      <x:c r="H11" s="20" t="n">
        <x:v>0</x:v>
      </x:c>
      <x:c r="I11" s="20" t="n">
        <x:v>0</x:v>
      </x:c>
      <x:c r="J11" s="20" t="n">
        <x:v>1</x:v>
      </x:c>
      <x:c r="K11" s="2" t="n">
        <x:v>1</x:v>
      </x:c>
      <x:c r="L11" s="2" t="n">
        <x:v>3</x:v>
      </x:c>
      <x:c r="M11" s="2" t="n">
        <x:v>75</x:v>
      </x:c>
      <x:c r="N11" s="2" t="str">
        <x:v>Placeholder until hardware characterization sets actual requirement</x:v>
      </x:c>
      <x:c r="O11" s="2"/>
      <x:c r="P11" s="2" t="n">
        <x:v>8</x:v>
      </x:c>
      <x:c r="Q11" s="2" t="str">
        <x:v>Medical / contingency systems</x:v>
      </x:c>
      <x:c r="R11" s="2" t="n">
        <x:v>78</x:v>
      </x:c>
      <x:c r="S11" s="20" t="n">
        <x:f>MIN(U11,MAX(0,$B$4-SUM($S$4:S10)))</x:f>
        <x:v>0.3</x:v>
      </x:c>
      <x:c r="T11" s="20" t="n">
        <x:v>0.1</x:v>
      </x:c>
      <x:c r="U11" s="20" t="n">
        <x:v>0.3</x:v>
      </x:c>
      <x:c r="V11" s="2" t="str">
        <x:f>IF(S11&gt;=U11,"NOMINAL",IF(S11&gt;=T11,"DEGRADED",IF(S11&gt;0,"BELOW MIN","SHED")))</x:f>
        <x:v>NOMINAL</x:v>
      </x:c>
    </x:row>
    <x:row r="12">
      <x:c r="A12" s="2" t="n">
        <x:v>8</x:v>
      </x:c>
      <x:c r="B12" s="2" t="n">
        <x:f>MAX(0,$B$5-A12)</x:f>
        <x:v>4.8000000000000025</x:v>
      </x:c>
      <x:c r="C12" s="2" t="str">
        <x:f>IF(A12&gt;=$B$7,"YES","NO")</x:f>
        <x:v>YES</x:v>
      </x:c>
      <x:c r="D12" s="65" t="n">
        <x:f>MIN(1,A12/$B$5)</x:f>
        <x:v>0.6249999999999999</x:v>
      </x:c>
      <x:c r="E12" s="2" t="str">
        <x:f>IF(C12="NO","Critical minimum threatened",IF(B12=0,"All nominal loads served","Graceful degradation"))</x:f>
        <x:v>Graceful degradation</x:v>
      </x:c>
      <x:c r="F12" s="2" t="str">
        <x:v>Medical / contingency systems</x:v>
      </x:c>
      <x:c r="G12" s="2" t="n">
        <x:v>1</x:v>
      </x:c>
      <x:c r="H12" s="20" t="n">
        <x:v>0.1</x:v>
      </x:c>
      <x:c r="I12" s="20" t="n">
        <x:v>0.3</x:v>
      </x:c>
      <x:c r="J12" s="20" t="n">
        <x:v>1.5</x:v>
      </x:c>
      <x:c r="K12" s="2" t="n">
        <x:v>4</x:v>
      </x:c>
      <x:c r="L12" s="2" t="n">
        <x:v>5</x:v>
      </x:c>
      <x:c r="M12" s="2" t="n">
        <x:v>78</x:v>
      </x:c>
      <x:c r="N12" s="2" t="str">
        <x:v>Normally low load; can jump to Tier 0 during medical event</x:v>
      </x:c>
      <x:c r="O12" s="2"/>
      <x:c r="P12" s="2" t="n">
        <x:v>9</x:v>
      </x:c>
      <x:c r="Q12" s="2" t="str">
        <x:v>EM Management System</x:v>
      </x:c>
      <x:c r="R12" s="2" t="n">
        <x:v>75</x:v>
      </x:c>
      <x:c r="S12" s="20" t="n">
        <x:f>MIN(U12,MAX(0,$B$4-SUM($S$4:S11)))</x:f>
        <x:v>0</x:v>
      </x:c>
      <x:c r="T12" s="20" t="n">
        <x:v>0</x:v>
      </x:c>
      <x:c r="U12" s="20" t="n">
        <x:v>0</x:v>
      </x:c>
      <x:c r="V12" s="2" t="str">
        <x:f>IF(S12&gt;=U12,"NOMINAL",IF(S12&gt;=T12,"DEGRADED",IF(S12&gt;0,"BELOW MIN","SHED")))</x:f>
        <x:v>NOMINAL</x:v>
      </x:c>
    </x:row>
    <x:row r="13">
      <x:c r="A13" s="2" t="n">
        <x:v>10</x:v>
      </x:c>
      <x:c r="B13" s="2" t="n">
        <x:f>MAX(0,$B$5-A13)</x:f>
        <x:v>2.8000000000000025</x:v>
      </x:c>
      <x:c r="C13" s="2" t="str">
        <x:f>IF(A13&gt;=$B$7,"YES","NO")</x:f>
        <x:v>YES</x:v>
      </x:c>
      <x:c r="D13" s="65" t="n">
        <x:f>MIN(1,A13/$B$5)</x:f>
        <x:v>0.7812499999999999</x:v>
      </x:c>
      <x:c r="E13" s="2" t="str">
        <x:f>IF(C13="NO","Critical minimum threatened",IF(B13=0,"All nominal loads served","Graceful degradation"))</x:f>
        <x:v>Graceful degradation</x:v>
      </x:c>
      <x:c r="F13" s="2" t="str">
        <x:v>Rover / EVA return charging</x:v>
      </x:c>
      <x:c r="G13" s="2" t="n">
        <x:v>1</x:v>
      </x:c>
      <x:c r="H13" s="20" t="n">
        <x:v>0</x:v>
      </x:c>
      <x:c r="I13" s="20" t="n">
        <x:v>1</x:v>
      </x:c>
      <x:c r="J13" s="20" t="n">
        <x:v>3</x:v>
      </x:c>
      <x:c r="K13" s="2" t="n">
        <x:v>6</x:v>
      </x:c>
      <x:c r="L13" s="2" t="n">
        <x:v>4</x:v>
      </x:c>
      <x:c r="M13" s="2" t="n">
        <x:v>70</x:v>
      </x:c>
      <x:c r="N13" s="2" t="str">
        <x:v>Priority rises sharply for crew-return or rescue state</x:v>
      </x:c>
      <x:c r="O13" s="2"/>
      <x:c r="P13" s="2" t="n">
        <x:v>10</x:v>
      </x:c>
      <x:c r="Q13" s="2" t="str">
        <x:v>Rover / EVA return charging</x:v>
      </x:c>
      <x:c r="R13" s="2" t="n">
        <x:v>70</x:v>
      </x:c>
      <x:c r="S13" s="20" t="n">
        <x:f>MIN(U13,MAX(0,$B$4-SUM($S$4:S12)))</x:f>
        <x:v>1</x:v>
      </x:c>
      <x:c r="T13" s="20" t="n">
        <x:v>0</x:v>
      </x:c>
      <x:c r="U13" s="20" t="n">
        <x:v>1</x:v>
      </x:c>
      <x:c r="V13" s="2" t="str">
        <x:f>IF(S13&gt;=U13,"NOMINAL",IF(S13&gt;=T13,"DEGRADED",IF(S13&gt;0,"BELOW MIN","SHED")))</x:f>
        <x:v>NOMINAL</x:v>
      </x:c>
    </x:row>
    <x:row r="14">
      <x:c r="A14" s="2" t="n">
        <x:v>12</x:v>
      </x:c>
      <x:c r="B14" s="2" t="n">
        <x:f>MAX(0,$B$5-A14)</x:f>
        <x:v>0.8000000000000025</x:v>
      </x:c>
      <x:c r="C14" s="2" t="str">
        <x:f>IF(A14&gt;=$B$7,"YES","NO")</x:f>
        <x:v>YES</x:v>
      </x:c>
      <x:c r="D14" s="65" t="n">
        <x:f>MIN(1,A14/$B$5)</x:f>
        <x:v>0.9374999999999998</x:v>
      </x:c>
      <x:c r="E14" s="2" t="str">
        <x:f>IF(C14="NO","Critical minimum threatened",IF(B14=0,"All nominal loads served","Graceful degradation"))</x:f>
        <x:v>Graceful degradation</x:v>
      </x:c>
      <x:c r="F14" s="2" t="str">
        <x:v>Galley / hygiene</x:v>
      </x:c>
      <x:c r="G14" s="2" t="n">
        <x:v>2</x:v>
      </x:c>
      <x:c r="H14" s="20" t="n">
        <x:v>0</x:v>
      </x:c>
      <x:c r="I14" s="20" t="n">
        <x:v>0.65</x:v>
      </x:c>
      <x:c r="J14" s="20" t="n">
        <x:v>1.6</x:v>
      </x:c>
      <x:c r="K14" s="2" t="n">
        <x:v>12</x:v>
      </x:c>
      <x:c r="L14" s="2" t="n">
        <x:v>2</x:v>
      </x:c>
      <x:c r="M14" s="2" t="n">
        <x:v>45</x:v>
      </x:c>
      <x:c r="N14" s="2" t="str">
        <x:v>Can defer most use; hygiene/water functions may be reprioritized</x:v>
      </x:c>
      <x:c r="O14" s="2"/>
      <x:c r="P14" s="2" t="n">
        <x:v>11</x:v>
      </x:c>
      <x:c r="Q14" s="2" t="str">
        <x:v>Galley / hygiene</x:v>
      </x:c>
      <x:c r="R14" s="2" t="n">
        <x:v>45</x:v>
      </x:c>
      <x:c r="S14" s="20" t="n">
        <x:f>MIN(U14,MAX(0,$B$4-SUM($S$4:S13)))</x:f>
        <x:v>0.65</x:v>
      </x:c>
      <x:c r="T14" s="20" t="n">
        <x:v>0</x:v>
      </x:c>
      <x:c r="U14" s="20" t="n">
        <x:v>0.65</x:v>
      </x:c>
      <x:c r="V14" s="2" t="str">
        <x:f>IF(S14&gt;=U14,"NOMINAL",IF(S14&gt;=T14,"DEGRADED",IF(S14&gt;0,"BELOW MIN","SHED")))</x:f>
        <x:v>NOMINAL</x:v>
      </x:c>
    </x:row>
    <x:row r="15">
      <x:c r="A15" s="2" t="n">
        <x:v>14</x:v>
      </x:c>
      <x:c r="B15" s="2" t="n">
        <x:f>MAX(0,$B$5-A15)</x:f>
        <x:v>0</x:v>
      </x:c>
      <x:c r="C15" s="2" t="str">
        <x:f>IF(A15&gt;=$B$7,"YES","NO")</x:f>
        <x:v>YES</x:v>
      </x:c>
      <x:c r="D15" s="65" t="n">
        <x:f>MIN(1,A15/$B$5)</x:f>
        <x:v>1</x:v>
      </x:c>
      <x:c r="E15" s="2" t="str">
        <x:f>IF(C15="NO","Critical minimum threatened",IF(B15=0,"All nominal loads served","Graceful degradation"))</x:f>
        <x:v>All nominal loads served</x:v>
      </x:c>
      <x:c r="F15" s="2" t="str">
        <x:v>Science laboratory</x:v>
      </x:c>
      <x:c r="G15" s="2" t="n">
        <x:v>2</x:v>
      </x:c>
      <x:c r="H15" s="20" t="n">
        <x:v>0</x:v>
      </x:c>
      <x:c r="I15" s="20" t="n">
        <x:v>0.8</x:v>
      </x:c>
      <x:c r="J15" s="20" t="n">
        <x:v>1.4</x:v>
      </x:c>
      <x:c r="K15" s="2" t="n">
        <x:v>24</x:v>
      </x:c>
      <x:c r="L15" s="2" t="n">
        <x:v>2</x:v>
      </x:c>
      <x:c r="M15" s="2" t="n">
        <x:v>35</x:v>
      </x:c>
      <x:c r="N15" s="2" t="str">
        <x:v>Suspend experiments before life-support loads</x:v>
      </x:c>
      <x:c r="O15" s="2"/>
      <x:c r="P15" s="2" t="n">
        <x:v>12</x:v>
      </x:c>
      <x:c r="Q15" s="2" t="str">
        <x:v>Science laboratory</x:v>
      </x:c>
      <x:c r="R15" s="2" t="n">
        <x:v>35</x:v>
      </x:c>
      <x:c r="S15" s="20" t="n">
        <x:f>MIN(U15,MAX(0,$B$4-SUM($S$4:S14)))</x:f>
        <x:v>0.8</x:v>
      </x:c>
      <x:c r="T15" s="20" t="n">
        <x:v>0</x:v>
      </x:c>
      <x:c r="U15" s="20" t="n">
        <x:v>0.8</x:v>
      </x:c>
      <x:c r="V15" s="2" t="str">
        <x:f>IF(S15&gt;=U15,"NOMINAL",IF(S15&gt;=T15,"DEGRADED",IF(S15&gt;0,"BELOW MIN","SHED")))</x:f>
        <x:v>NOMINAL</x:v>
      </x:c>
    </x:row>
    <x:row r="16">
      <x:c r="A16" s="2" t="n">
        <x:v>16</x:v>
      </x:c>
      <x:c r="B16" s="2" t="n">
        <x:f>MAX(0,$B$5-A16)</x:f>
        <x:v>0</x:v>
      </x:c>
      <x:c r="C16" s="2" t="str">
        <x:f>IF(A16&gt;=$B$7,"YES","NO")</x:f>
        <x:v>YES</x:v>
      </x:c>
      <x:c r="D16" s="65" t="n">
        <x:f>MIN(1,A16/$B$5)</x:f>
        <x:v>1</x:v>
      </x:c>
      <x:c r="E16" s="2" t="str">
        <x:f>IF(C16="NO","Critical minimum threatened",IF(B16=0,"All nominal loads served","Graceful degradation"))</x:f>
        <x:v>All nominal loads served</x:v>
      </x:c>
      <x:c r="F16" s="2" t="str">
        <x:v>Plant lighting</x:v>
      </x:c>
      <x:c r="G16" s="2" t="n">
        <x:v>3</x:v>
      </x:c>
      <x:c r="H16" s="20" t="n">
        <x:v>0</x:v>
      </x:c>
      <x:c r="I16" s="20" t="n">
        <x:v>0.3</x:v>
      </x:c>
      <x:c r="J16" s="20" t="n">
        <x:v>2</x:v>
      </x:c>
      <x:c r="K16" s="2" t="n">
        <x:v>12</x:v>
      </x:c>
      <x:c r="L16" s="2" t="n">
        <x:v>1</x:v>
      </x:c>
      <x:c r="M16" s="2" t="n">
        <x:v>30</x:v>
      </x:c>
      <x:c r="N16" s="2" t="str">
        <x:v>Can dim or interrupt temporarily; growth impact accumulates</x:v>
      </x:c>
      <x:c r="O16" s="2"/>
      <x:c r="P16" s="2" t="n">
        <x:v>13</x:v>
      </x:c>
      <x:c r="Q16" s="2" t="str">
        <x:v>Plant lighting</x:v>
      </x:c>
      <x:c r="R16" s="2" t="n">
        <x:v>30</x:v>
      </x:c>
      <x:c r="S16" s="20" t="n">
        <x:f>MIN(U16,MAX(0,$B$4-SUM($S$4:S15)))</x:f>
        <x:v>0.3</x:v>
      </x:c>
      <x:c r="T16" s="20" t="n">
        <x:v>0</x:v>
      </x:c>
      <x:c r="U16" s="20" t="n">
        <x:v>0.3</x:v>
      </x:c>
      <x:c r="V16" s="2" t="str">
        <x:f>IF(S16&gt;=U16,"NOMINAL",IF(S16&gt;=T16,"DEGRADED",IF(S16&gt;0,"BELOW MIN","SHED")))</x:f>
        <x:v>NOMINAL</x:v>
      </x:c>
    </x:row>
    <x:row r="17">
      <x:c r="A17" s="2" t="n">
        <x:v>18</x:v>
      </x:c>
      <x:c r="B17" s="2" t="n">
        <x:f>MAX(0,$B$5-A17)</x:f>
        <x:v>0</x:v>
      </x:c>
      <x:c r="C17" s="2" t="str">
        <x:f>IF(A17&gt;=$B$7,"YES","NO")</x:f>
        <x:v>YES</x:v>
      </x:c>
      <x:c r="D17" s="65" t="n">
        <x:f>MIN(1,A17/$B$5)</x:f>
        <x:v>1</x:v>
      </x:c>
      <x:c r="E17" s="2" t="str">
        <x:f>IF(C17="NO","Critical minimum threatened",IF(B17=0,"All nominal loads served","Graceful degradation"))</x:f>
        <x:v>All nominal loads served</x:v>
      </x:c>
      <x:c r="F17" s="2" t="str">
        <x:v>Logistics / maintenance</x:v>
      </x:c>
      <x:c r="G17" s="2" t="n">
        <x:v>3</x:v>
      </x:c>
      <x:c r="H17" s="20" t="n">
        <x:v>0</x:v>
      </x:c>
      <x:c r="I17" s="20" t="n">
        <x:v>0.4</x:v>
      </x:c>
      <x:c r="J17" s="20" t="n">
        <x:v>1</x:v>
      </x:c>
      <x:c r="K17" s="2" t="n">
        <x:v>24</x:v>
      </x:c>
      <x:c r="L17" s="2" t="n">
        <x:v>2</x:v>
      </x:c>
      <x:c r="M17" s="2" t="n">
        <x:v>28</x:v>
      </x:c>
      <x:c r="N17" s="2" t="str">
        <x:v>Defer tools and maintenance unless fault-recovery task</x:v>
      </x:c>
      <x:c r="O17" s="2"/>
      <x:c r="P17" s="2" t="n">
        <x:v>14</x:v>
      </x:c>
      <x:c r="Q17" s="2" t="str">
        <x:v>Logistics / maintenance</x:v>
      </x:c>
      <x:c r="R17" s="2" t="n">
        <x:v>28</x:v>
      </x:c>
      <x:c r="S17" s="20" t="n">
        <x:f>MIN(U17,MAX(0,$B$4-SUM($S$4:S16)))</x:f>
        <x:v>0.4</x:v>
      </x:c>
      <x:c r="T17" s="20" t="n">
        <x:v>0</x:v>
      </x:c>
      <x:c r="U17" s="20" t="n">
        <x:v>0.4</x:v>
      </x:c>
      <x:c r="V17" s="2" t="str">
        <x:f>IF(S17&gt;=U17,"NOMINAL",IF(S17&gt;=T17,"DEGRADED",IF(S17&gt;0,"BELOW MIN","SHED")))</x:f>
        <x:v>NOMINAL</x:v>
      </x:c>
    </x:row>
    <x:row r="18">
      <x:c r="A18" s="2" t="n">
        <x:v>20</x:v>
      </x:c>
      <x:c r="B18" s="2" t="n">
        <x:f>MAX(0,$B$5-A18)</x:f>
        <x:v>0</x:v>
      </x:c>
      <x:c r="C18" s="2" t="str">
        <x:f>IF(A18&gt;=$B$7,"YES","NO")</x:f>
        <x:v>YES</x:v>
      </x:c>
      <x:c r="D18" s="65" t="n">
        <x:f>MIN(1,A18/$B$5)</x:f>
        <x:v>1</x:v>
      </x:c>
      <x:c r="E18" s="2" t="str">
        <x:f>IF(C18="NO","Critical minimum threatened",IF(B18=0,"All nominal loads served","Graceful degradation"))</x:f>
        <x:v>All nominal loads served</x:v>
      </x:c>
      <x:c r="F18" s="2" t="str">
        <x:v>ISRU / construction</x:v>
      </x:c>
      <x:c r="G18" s="2" t="n">
        <x:v>4</x:v>
      </x:c>
      <x:c r="H18" s="20" t="n">
        <x:v>0</x:v>
      </x:c>
      <x:c r="I18" s="20" t="n">
        <x:v>0</x:v>
      </x:c>
      <x:c r="J18" s="20" t="n">
        <x:v>10</x:v>
      </x:c>
      <x:c r="K18" s="2" t="n">
        <x:v>72</x:v>
      </x:c>
      <x:c r="L18" s="2" t="n">
        <x:v>1</x:v>
      </x:c>
      <x:c r="M18" s="2" t="n">
        <x:v>10</x:v>
      </x:c>
      <x:c r="N18" s="2" t="str">
        <x:v>Opportunistic flexible load; first to shed</x:v>
      </x:c>
      <x:c r="O18" s="2"/>
      <x:c r="P18" s="2" t="n">
        <x:v>15</x:v>
      </x:c>
      <x:c r="Q18" s="2" t="str">
        <x:v>ISRU / construction</x:v>
      </x:c>
      <x:c r="R18" s="2" t="n">
        <x:v>10</x:v>
      </x:c>
      <x:c r="S18" s="20" t="n">
        <x:f>MIN(U18,MAX(0,$B$4-SUM($S$4:S17)))</x:f>
        <x:v>0</x:v>
      </x:c>
      <x:c r="T18" s="20" t="n">
        <x:v>0</x:v>
      </x:c>
      <x:c r="U18" s="20" t="n">
        <x:v>0</x:v>
      </x:c>
      <x:c r="V18" s="2" t="str">
        <x:f>IF(S18&gt;=U18,"NOMINAL",IF(S18&gt;=T18,"DEGRADED",IF(S18&gt;0,"BELOW MIN","SHED")))</x:f>
        <x:v>NOMINAL</x:v>
      </x:c>
    </x:row>
    <x:row r="19">
      <x:c r="A19" s="2"/>
      <x:c r="B19" s="2"/>
      <x:c r="C19" s="2"/>
      <x:c r="D19" s="2"/>
      <x:c r="E19" s="2"/>
      <x:c r="F19" s="2" t="str">
        <x:v>Thermal-bank charging</x:v>
      </x:c>
      <x:c r="G19" s="2" t="n">
        <x:v>4</x:v>
      </x:c>
      <x:c r="H19" s="20" t="n">
        <x:v>0</x:v>
      </x:c>
      <x:c r="I19" s="20" t="n">
        <x:v>0</x:v>
      </x:c>
      <x:c r="J19" s="20" t="n">
        <x:v>15</x:v>
      </x:c>
      <x:c r="K19" s="2" t="n">
        <x:v>999</x:v>
      </x:c>
      <x:c r="L19" s="2" t="n">
        <x:v>1</x:v>
      </x:c>
      <x:c r="M19" s="2" t="n">
        <x:v>5</x:v>
      </x:c>
      <x:c r="N19" s="2" t="str">
        <x:v>Use only surplus power; no service obligation</x:v>
      </x:c>
      <x:c r="O19" s="2"/>
      <x:c r="P19" s="2" t="n">
        <x:v>16</x:v>
      </x:c>
      <x:c r="Q19" s="2" t="str">
        <x:v>Thermal-bank charging</x:v>
      </x:c>
      <x:c r="R19" s="2" t="n">
        <x:v>5</x:v>
      </x:c>
      <x:c r="S19" s="20" t="n">
        <x:f>MIN(U19,MAX(0,$B$4-SUM($S$4:S18)))</x:f>
        <x:v>0</x:v>
      </x:c>
      <x:c r="T19" s="20" t="n">
        <x:v>0</x:v>
      </x:c>
      <x:c r="U19" s="20" t="n">
        <x:v>0</x:v>
      </x:c>
      <x:c r="V19" s="2" t="str">
        <x:f>IF(S19&gt;=U19,"NOMINAL",IF(S19&gt;=T19,"DEGRADED",IF(S19&gt;0,"BELOW MIN","SHED")))</x:f>
        <x:v>NOMINAL</x:v>
      </x:c>
    </x:row>
    <x:row r="20">
      <x:c r="A20" s="2"/>
      <x:c r="B20" s="2"/>
      <x:c r="C20" s="2"/>
      <x:c r="D20" s="2"/>
      <x:c r="E20" s="2"/>
      <x:c r="F20" s="2"/>
      <x:c r="G20" s="2"/>
      <x:c r="H20" s="2"/>
      <x:c r="I20" s="2"/>
      <x:c r="J20" s="2"/>
      <x:c r="K20" s="2"/>
      <x:c r="L20" s="2"/>
      <x:c r="M20" s="2"/>
      <x:c r="N20" s="2"/>
      <x:c r="O20" s="2"/>
      <x:c r="P20" s="2"/>
      <x:c r="Q20" s="2"/>
      <x:c r="R20" s="2"/>
      <x:c r="S20" s="2"/>
      <x:c r="T20" s="2"/>
      <x:c r="U20" s="2"/>
      <x:c r="V20" s="2"/>
    </x:row>
    <x:row r="21">
      <x:c r="A21" s="66" t="str">
        <x:v>Operational rule: Tier is the hard safety floor. Current Bid is dynamic and may change with mission state (EVA return, medical event, cold soak, fault recovery, crop condition). The EMS sheds the lowest-value flexible loads first and reallocates power as state changes.</x:v>
      </x:c>
      <x:c r="B21" s="66"/>
      <x:c r="C21" s="66"/>
      <x:c r="D21" s="66"/>
      <x:c r="E21" s="66"/>
      <x:c r="F21" s="66"/>
      <x:c r="G21" s="66"/>
      <x:c r="H21" s="66"/>
      <x:c r="I21" s="66"/>
      <x:c r="J21" s="66"/>
      <x:c r="K21" s="66"/>
      <x:c r="L21" s="66"/>
      <x:c r="M21" s="66"/>
      <x:c r="N21" s="66"/>
      <x:c r="O21" s="2"/>
      <x:c r="P21" s="2"/>
      <x:c r="Q21" s="2"/>
      <x:c r="R21" s="2"/>
      <x:c r="S21" s="2"/>
      <x:c r="T21" s="2"/>
      <x:c r="U21" s="2"/>
      <x:c r="V21" s="2"/>
    </x:row>
    <x:row r="22">
      <x:c r="A22" s="2"/>
      <x:c r="B22" s="2"/>
      <x:c r="C22" s="2"/>
      <x:c r="D22" s="2"/>
      <x:c r="E22" s="2"/>
      <x:c r="F22" s="2"/>
      <x:c r="G22" s="2"/>
      <x:c r="H22" s="2"/>
      <x:c r="I22" s="2"/>
      <x:c r="J22" s="2"/>
      <x:c r="K22" s="2"/>
      <x:c r="L22" s="2"/>
      <x:c r="M22" s="2"/>
      <x:c r="N22" s="2"/>
      <x:c r="O22" s="2"/>
      <x:c r="P22" s="2"/>
      <x:c r="Q22" s="2"/>
      <x:c r="R22" s="2"/>
      <x:c r="S22" s="2"/>
      <x:c r="T22" s="2"/>
      <x:c r="U22" s="2"/>
      <x:c r="V22" s="2"/>
    </x:row>
    <x:row r="23">
      <x:c r="A23" s="2"/>
      <x:c r="B23" s="2"/>
      <x:c r="C23" s="2"/>
      <x:c r="D23" s="2"/>
      <x:c r="E23" s="2"/>
      <x:c r="F23" s="2"/>
      <x:c r="G23" s="2"/>
      <x:c r="H23" s="2"/>
      <x:c r="I23" s="2"/>
      <x:c r="J23" s="2"/>
      <x:c r="K23" s="2"/>
      <x:c r="L23" s="2"/>
      <x:c r="M23" s="2"/>
      <x:c r="N23" s="2"/>
      <x:c r="O23" s="2"/>
      <x:c r="P23" s="2"/>
      <x:c r="Q23" s="2"/>
      <x:c r="R23" s="2"/>
      <x:c r="S23" s="2"/>
      <x:c r="T23" s="2"/>
      <x:c r="U23" s="2"/>
      <x:c r="V23" s="2"/>
    </x:row>
    <x:row r="24">
      <x:c r="A24" s="2"/>
      <x:c r="B24" s="2"/>
      <x:c r="C24" s="2"/>
      <x:c r="D24" s="2"/>
      <x:c r="E24" s="2"/>
      <x:c r="F24" s="2"/>
      <x:c r="G24" s="2"/>
      <x:c r="H24" s="2"/>
      <x:c r="I24" s="2"/>
      <x:c r="J24" s="2"/>
      <x:c r="K24" s="2"/>
      <x:c r="L24" s="2"/>
      <x:c r="M24" s="2"/>
      <x:c r="N24" s="2"/>
      <x:c r="O24" s="2"/>
      <x:c r="P24" s="2"/>
      <x:c r="Q24" s="2"/>
      <x:c r="R24" s="2"/>
      <x:c r="S24" s="2"/>
      <x:c r="T24" s="2"/>
      <x:c r="U24" s="2"/>
      <x:c r="V24" s="2"/>
    </x:row>
  </x:sheetData>
  <x:mergeCells>
    <x:mergeCell ref="A1:N1"/>
    <x:mergeCell ref="A21:N21"/>
  </x:mergeCells>
  <x:conditionalFormatting sqref="V4:V19">
    <x:cfRule type="expression" dxfId="8" priority="1">
      <x:formula>V4="SHED"</x:formula>
    </x:cfRule>
    <x:cfRule type="expression" dxfId="9" priority="2">
      <x:formula>V4="DEGRADED"</x:formula>
    </x:cfRule>
    <x:cfRule type="expression" dxfId="10" priority="3">
      <x:formula>V4="NOMINAL"</x:formula>
    </x:cfRule>
  </x:conditionalFormatting>
  <x:conditionalFormatting sqref="B8:B8">
    <x:cfRule type="expression" dxfId="11" priority="4">
      <x:formula>B8="SURVIVAL SHORTFALL"</x:formula>
    </x:cfRule>
  </x:conditionalFormatting>
  <x:pageMargins left="0.7" right="0.7" top="0.75" bottom="0.75" header="0.3" footer="0.3"/>
  <x:drawing xmlns:r="http://schemas.openxmlformats.org/officeDocument/2006/relationships" r:id="R46134d46d4f943b6"/>
</x:worksheet>
</file>