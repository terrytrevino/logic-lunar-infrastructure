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59655e711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4f340fa1f4074d31"/>
    <x:sheet xmlns:r="http://schemas.openxmlformats.org/officeDocument/2006/relationships" name="NASA Timeline" sheetId="2" r:id="R8c876242f5a54d70"/>
    <x:sheet xmlns:r="http://schemas.openxmlformats.org/officeDocument/2006/relationships" name="Facilities &amp; Loads" sheetId="3" r:id="Re86b840ccc7646d0"/>
    <x:sheet xmlns:r="http://schemas.openxmlformats.org/officeDocument/2006/relationships" name="Plant Module" sheetId="4" r:id="Rc5b42dacea434543"/>
    <x:sheet xmlns:r="http://schemas.openxmlformats.org/officeDocument/2006/relationships" name="Generation &amp; Storage" sheetId="5" r:id="R062f37ae7bb44383"/>
    <x:sheet xmlns:r="http://schemas.openxmlformats.org/officeDocument/2006/relationships" name="Distribution Panel" sheetId="6" r:id="R61d198e5b47c4783"/>
    <x:sheet xmlns:r="http://schemas.openxmlformats.org/officeDocument/2006/relationships" name="Storage" sheetId="7" r:id="R448f2f1649564a9b"/>
    <x:sheet xmlns:r="http://schemas.openxmlformats.org/officeDocument/2006/relationships" name="Dashboard" sheetId="8" r:id="Rde44aa46cf3b48c9"/>
    <x:sheet xmlns:r="http://schemas.openxmlformats.org/officeDocument/2006/relationships" name="References" sheetId="9" r:id="Rbbc76765fe924cac"/>
    <x:sheet xmlns:r="http://schemas.openxmlformats.org/officeDocument/2006/relationships" name="Mission Buildout" sheetId="10" r:id="R11454ffa076347c5"/>
    <x:sheet xmlns:r="http://schemas.openxmlformats.org/officeDocument/2006/relationships" name="Microgrid Nodes" sheetId="11" r:id="Ra666e61ff8b74ee3"/>
    <x:sheet xmlns:r="http://schemas.openxmlformats.org/officeDocument/2006/relationships" name="Umbilicals &amp; Charging" sheetId="12" r:id="R9df9121ddce64cc0"/>
    <x:sheet xmlns:r="http://schemas.openxmlformats.org/officeDocument/2006/relationships" name="Solar Concentrators" sheetId="13" r:id="R077c82e6d0f346c4"/>
    <x:sheet xmlns:r="http://schemas.openxmlformats.org/officeDocument/2006/relationships" name="Supply Forecast" sheetId="14" r:id="Re2a0ab1e74f74bfb"/>
    <x:sheet xmlns:r="http://schemas.openxmlformats.org/officeDocument/2006/relationships" name="Technology Gaps" sheetId="15" r:id="R2808501efd6e4cc2"/>
    <x:sheet xmlns:r="http://schemas.openxmlformats.org/officeDocument/2006/relationships" name="Development Tasks" sheetId="16" r:id="R6ca6b22375f24202"/>
    <x:sheet xmlns:r="http://schemas.openxmlformats.org/officeDocument/2006/relationships" name="Power Conversion Layer" sheetId="17" r:id="R862e7046ed19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6"/>
      <x:color rgb="FFFFFFFF"/>
      <x:name val="Arial"/>
    </x:font>
    <x:font>
      <x:b/>
      <x:sz val="10"/>
      <x:color rgb="FF17365D"/>
      <x:name val="Arial"/>
    </x:font>
    <x:font>
      <x:sz val="10"/>
      <x:name val="Arial"/>
    </x:font>
    <x:font>
      <x:b/>
      <x:sz val="1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a2df32e1540e4" /><Relationship Type="http://schemas.openxmlformats.org/officeDocument/2006/relationships/theme" Target="/xl/theme/theme1.xml" Id="R55acbe9ce71148a6" /><Relationship Type="http://schemas.openxmlformats.org/officeDocument/2006/relationships/sharedStrings" Target="/xl/sharedStrings.xml" Id="Rea219d3e68ed46ae" /><Relationship Type="http://schemas.openxmlformats.org/officeDocument/2006/relationships/worksheet" Target="/xl/worksheets/sheet1.xml" Id="R4f340fa1f4074d31" /><Relationship Type="http://schemas.openxmlformats.org/officeDocument/2006/relationships/worksheet" Target="/xl/worksheets/sheet2.xml" Id="R8c876242f5a54d70" /><Relationship Type="http://schemas.openxmlformats.org/officeDocument/2006/relationships/worksheet" Target="/xl/worksheets/sheet3.xml" Id="Re86b840ccc7646d0" /><Relationship Type="http://schemas.openxmlformats.org/officeDocument/2006/relationships/worksheet" Target="/xl/worksheets/sheet4.xml" Id="Rc5b42dacea434543" /><Relationship Type="http://schemas.openxmlformats.org/officeDocument/2006/relationships/worksheet" Target="/xl/worksheets/sheet5.xml" Id="R062f37ae7bb44383" /><Relationship Type="http://schemas.openxmlformats.org/officeDocument/2006/relationships/worksheet" Target="/xl/worksheets/sheet6.xml" Id="R61d198e5b47c4783" /><Relationship Type="http://schemas.openxmlformats.org/officeDocument/2006/relationships/worksheet" Target="/xl/worksheets/sheet7.xml" Id="R448f2f1649564a9b" /><Relationship Type="http://schemas.openxmlformats.org/officeDocument/2006/relationships/worksheet" Target="/xl/worksheets/sheet8.xml" Id="Rde44aa46cf3b48c9" /><Relationship Type="http://schemas.openxmlformats.org/officeDocument/2006/relationships/worksheet" Target="/xl/worksheets/sheet9.xml" Id="Rbbc76765fe924cac" /><Relationship Type="http://schemas.openxmlformats.org/officeDocument/2006/relationships/worksheet" Target="/xl/worksheets/sheet10.xml" Id="R11454ffa076347c5" /><Relationship Type="http://schemas.openxmlformats.org/officeDocument/2006/relationships/worksheet" Target="/xl/worksheets/sheet11.xml" Id="Ra666e61ff8b74ee3" /><Relationship Type="http://schemas.openxmlformats.org/officeDocument/2006/relationships/worksheet" Target="/xl/worksheets/sheet12.xml" Id="R9df9121ddce64cc0" /><Relationship Type="http://schemas.openxmlformats.org/officeDocument/2006/relationships/worksheet" Target="/xl/worksheets/sheet13.xml" Id="R077c82e6d0f346c4" /><Relationship Type="http://schemas.openxmlformats.org/officeDocument/2006/relationships/worksheet" Target="/xl/worksheets/sheet14.xml" Id="Re2a0ab1e74f74bfb" /><Relationship Type="http://schemas.openxmlformats.org/officeDocument/2006/relationships/worksheet" Target="/xl/worksheets/sheet15.xml" Id="R2808501efd6e4cc2" /><Relationship Type="http://schemas.openxmlformats.org/officeDocument/2006/relationships/worksheet" Target="/xl/worksheets/sheet16.xml" Id="R6ca6b22375f24202" /><Relationship Type="http://schemas.openxmlformats.org/officeDocument/2006/relationships/worksheet" Target="/xl/worksheets/sheet17.xml" Id="R862e7046ed194d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1a8d189b3248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0ce2f1dbc284d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6d52eb36a6845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Plant Module Growth Area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Crop Area m²</c:v>
          </c:tx>
          <c:cat>
            <c:strRef>
              <c:f>'Plant Module'!$A$4:$A$7</c:f>
              <c:strCache>
                <c:ptCount val="0"/>
              </c:strCache>
            </c:strRef>
          </c:cat>
          <c:val>
            <c:numRef>
              <c:f>'Plant Module'!$B$4:$B$7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6-Crew vs 12-Crew Power Demand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6 CREW</c:v>
          </c:tx>
          <c:cat>
            <c:strRef>
              <c:f>'Dashboard'!$A$4:$A$6</c:f>
              <c:strCache>
                <c:ptCount val="0"/>
              </c:strCache>
            </c:strRef>
          </c:cat>
          <c:val>
            <c:numRef>
              <c:f>'Dashboard'!$B$4:$B$6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12 CREW HANDOVER</c:v>
          </c:tx>
          <c:cat>
            <c:strRef>
              <c:f>'Dashboard'!$A$4:$A$6</c:f>
              <c:strCache>
                <c:ptCount val="0"/>
              </c:strCache>
            </c:strRef>
          </c:cat>
          <c:val>
            <c:numRef>
              <c:f>'Dashboard'!$C$4:$C$6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Power Infrastructure Growth per Delivery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Earliest Window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Buildout'!$B$4:$B$10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NASA / Program Anchor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Buildout'!$C$4:$C$10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Primary Delivery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Buildout'!$D$4:$D$10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Nominal Payload Limit kg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Buildout'!$E$4:$E$10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Power HW Allocation kg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Buildout'!$F$4:$F$10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Battery kWh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Buildout'!$G$4:$G$10</c:f>
              <c:numCache>
                <c:formatCode>0</c:formatCode>
                <c:ptCount val="0"/>
              </c:numCache>
            </c:numRef>
          </c:val>
        </c:ser>
        <c:ser>
          <c:idx val="6"/>
          <c:order val="6"/>
          <c:tx>
            <c:v>New Generation kW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Buildout'!$H$4:$H$10</c:f>
              <c:numCache>
                <c:formatCode>0</c:formatCode>
                <c:ptCount val="0"/>
              </c:numCache>
            </c:numRef>
          </c:val>
        </c:ser>
        <c:ser>
          <c:idx val="7"/>
          <c:order val="7"/>
          <c:tx>
            <c:v>New Utility Nodes</c:v>
          </c:tx>
          <c:cat>
            <c:strRef>
              <c:f>'Mission Buildout'!$A$4:$A$10</c:f>
              <c:strCache>
                <c:ptCount val="0"/>
              </c:strCache>
            </c:strRef>
          </c:cat>
          <c:val>
            <c:numRef>
              <c:f>'Mission Buildout'!$I$4:$I$10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1a8d189b32482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ce2f1dbc284d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d52eb36a6845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f51ce8e1d1448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d98380fe3c9e43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f85011301eda488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32" hidden="0" customWidth="1"/>
  </x:cols>
  <x:sheetData>
    <x:row r="1" ht="28" customHeight="1">
      <x:c r="A1" s="5" t="str">
        <x:v>Lunar South Pole Power Architecture — Editable Engineering Assumptions</x:v>
      </x:c>
    </x:row>
    <x:row r="3">
      <x:c r="A3" s="14" t="str">
        <x:v>Parameter</x:v>
      </x:c>
      <x:c r="B3" s="14" t="str">
        <x:v>Nominal Value</x:v>
      </x:c>
      <x:c r="C3" s="14" t="str">
        <x:v>Units</x:v>
      </x:c>
      <x:c r="D3" s="14" t="str">
        <x:v>Status</x:v>
      </x:c>
      <x:c r="E3" s="14" t="str">
        <x:v>Basis / Interpretation</x:v>
      </x:c>
      <x:c r="F3" s="14" t="str">
        <x:v>Low Case</x:v>
      </x:c>
      <x:c r="G3" s="14" t="str">
        <x:v>High Case</x:v>
      </x:c>
      <x:c r="H3" s="14" t="str">
        <x:v>Notes</x:v>
      </x:c>
    </x:row>
    <x:row r="4">
      <x:c r="A4" s="24" t="str">
        <x:v>Nominal crew</x:v>
      </x:c>
      <x:c r="B4" s="26" t="n">
        <x:v>6</x:v>
      </x:c>
      <x:c r="C4" s="24" t="str">
        <x:v>persons</x:v>
      </x:c>
      <x:c r="D4" s="24" t="str">
        <x:v>Scenario</x:v>
      </x:c>
      <x:c r="E4" s="24" t="str">
        <x:v>Normal occupied station</x:v>
      </x:c>
      <x:c r="F4" s="26" t="n">
        <x:v>6</x:v>
      </x:c>
      <x:c r="G4" s="26" t="n">
        <x:v>6</x:v>
      </x:c>
      <x:c r="H4" s="24" t="str">
        <x:v>Editable</x:v>
      </x:c>
    </x:row>
    <x:row r="5">
      <x:c r="A5" s="24" t="str">
        <x:v>Handover crew</x:v>
      </x:c>
      <x:c r="B5" s="26" t="n">
        <x:v>12</x:v>
      </x:c>
      <x:c r="C5" s="24" t="str">
        <x:v>persons</x:v>
      </x:c>
      <x:c r="D5" s="24" t="str">
        <x:v>Scenario</x:v>
      </x:c>
      <x:c r="E5" s="24" t="str">
        <x:v>Crew overlap / handover</x:v>
      </x:c>
      <x:c r="F5" s="26" t="n">
        <x:v>10</x:v>
      </x:c>
      <x:c r="G5" s="26" t="n">
        <x:v>12</x:v>
      </x:c>
      <x:c r="H5" s="24" t="str">
        <x:v>Editable</x:v>
      </x:c>
    </x:row>
    <x:row r="6">
      <x:c r="A6" s="24" t="str">
        <x:v>Nominal average base load</x:v>
      </x:c>
      <x:c r="B6" s="26" t="n">
        <x:v>12.5</x:v>
      </x:c>
      <x:c r="C6" s="24" t="str">
        <x:v>kW</x:v>
      </x:c>
      <x:c r="D6" s="24" t="str">
        <x:v>Engineering estimate</x:v>
      </x:c>
      <x:c r="E6" s="24" t="str">
        <x:v>Calibrated to ~300 kWh/day total station demand</x:v>
      </x:c>
      <x:c r="F6" s="26" t="n">
        <x:v>10</x:v>
      </x:c>
      <x:c r="G6" s="26" t="n">
        <x:v>15</x:v>
      </x:c>
      <x:c r="H6" s="24" t="str">
        <x:v>Not a NASA requirement</x:v>
      </x:c>
    </x:row>
    <x:row r="7">
      <x:c r="A7" s="24" t="str">
        <x:v>Handover average base load</x:v>
      </x:c>
      <x:c r="B7" s="26" t="n">
        <x:v>17.5</x:v>
      </x:c>
      <x:c r="C7" s="24" t="str">
        <x:v>kW</x:v>
      </x:c>
      <x:c r="D7" s="24" t="str">
        <x:v>Engineering estimate</x:v>
      </x:c>
      <x:c r="E7" s="24" t="str">
        <x:v>Fixed loads + higher crew-variable loads</x:v>
      </x:c>
      <x:c r="F7" s="26" t="n">
        <x:v>15</x:v>
      </x:c>
      <x:c r="G7" s="26" t="n">
        <x:v>22</x:v>
      </x:c>
      <x:c r="H7" s="24" t="str">
        <x:v>Not simply 2× because many loads are fixed</x:v>
      </x:c>
    </x:row>
    <x:row r="8">
      <x:c r="A8" s="24" t="str">
        <x:v>Nominal peak demand multiplier</x:v>
      </x:c>
      <x:c r="B8" s="26" t="n">
        <x:v>1.65</x:v>
      </x:c>
      <x:c r="C8" s="24" t="str">
        <x:v>x average</x:v>
      </x:c>
      <x:c r="D8" s="24" t="str">
        <x:v>Engineering estimate</x:v>
      </x:c>
      <x:c r="E8" s="24" t="str">
        <x:v>Short-duration concurrent load peak</x:v>
      </x:c>
      <x:c r="F8" s="26" t="n">
        <x:v>1.4</x:v>
      </x:c>
      <x:c r="G8" s="26" t="n">
        <x:v>2</x:v>
      </x:c>
      <x:c r="H8" s="24" t="str">
        <x:v>Used for panel sizing</x:v>
      </x:c>
    </x:row>
    <x:row r="9">
      <x:c r="A9" s="24" t="str">
        <x:v>Handover peak demand multiplier</x:v>
      </x:c>
      <x:c r="B9" s="26" t="n">
        <x:v>1.75</x:v>
      </x:c>
      <x:c r="C9" s="24" t="str">
        <x:v>x average</x:v>
      </x:c>
      <x:c r="D9" s="24" t="str">
        <x:v>Engineering estimate</x:v>
      </x:c>
      <x:c r="E9" s="24" t="str">
        <x:v>Higher galley/ECLSS/charging concurrency</x:v>
      </x:c>
      <x:c r="F9" s="26" t="n">
        <x:v>1.5</x:v>
      </x:c>
      <x:c r="G9" s="26" t="n">
        <x:v>2.1</x:v>
      </x:c>
      <x:c r="H9" s="24" t="str">
        <x:v>Used for panel sizing</x:v>
      </x:c>
    </x:row>
    <x:row r="10">
      <x:c r="A10" s="24" t="str">
        <x:v>Primary local bus</x:v>
      </x:c>
      <x:c r="B10" s="26" t="n">
        <x:v>120</x:v>
      </x:c>
      <x:c r="C10" s="24" t="str">
        <x:v>VDC</x:v>
      </x:c>
      <x:c r="D10" s="24" t="str">
        <x:v>NASA/ISPSIS</x:v>
      </x:c>
      <x:c r="E10" s="24" t="str">
        <x:v>NASA surface power exchange requirement for nearby elements</x:v>
      </x:c>
      <x:c r="F10" s="26" t="n">
        <x:v>120</x:v>
      </x:c>
      <x:c r="G10" s="26" t="n">
        <x:v>120</x:v>
      </x:c>
      <x:c r="H10" s="24" t="str">
        <x:v>Use local distribution near habitat cluster</x:v>
      </x:c>
    </x:row>
    <x:row r="11">
      <x:c r="A11" s="24" t="str">
        <x:v>Long-distance trunk design voltage</x:v>
      </x:c>
      <x:c r="B11" s="26" t="n">
        <x:v>800</x:v>
      </x:c>
      <x:c r="C11" s="24" t="str">
        <x:v>VDC</x:v>
      </x:c>
      <x:c r="D11" s="24" t="str">
        <x:v>Engineering trade</x:v>
      </x:c>
      <x:c r="E11" s="24" t="str">
        <x:v>Illustrative HVDC trunk for lower cable current; final value TBD</x:v>
      </x:c>
      <x:c r="F11" s="26" t="n">
        <x:v>600</x:v>
      </x:c>
      <x:c r="G11" s="26" t="n">
        <x:v>1000</x:v>
      </x:c>
      <x:c r="H11" s="24" t="str">
        <x:v>Not a NASA standard</x:v>
      </x:c>
    </x:row>
    <x:row r="12">
      <x:c r="A12" s="24" t="str">
        <x:v>Local DC/DC efficiency</x:v>
      </x:c>
      <x:c r="B12" s="26" t="n">
        <x:v>0.95</x:v>
      </x:c>
      <x:c r="C12" s="24" t="str">
        <x:v>fraction</x:v>
      </x:c>
      <x:c r="D12" s="24" t="str">
        <x:v>Engineering estimate</x:v>
      </x:c>
      <x:c r="E12" s="24" t="str">
        <x:v>Conversion from trunk/local buses</x:v>
      </x:c>
      <x:c r="F12" s="26" t="n">
        <x:v>0.92</x:v>
      </x:c>
      <x:c r="G12" s="26" t="n">
        <x:v>0.97</x:v>
      </x:c>
      <x:c r="H12" s="24" t="str">
        <x:v>Editable</x:v>
      </x:c>
    </x:row>
    <x:row r="13">
      <x:c r="A13" s="24" t="str">
        <x:v>Feeder design margin</x:v>
      </x:c>
      <x:c r="B13" s="26" t="n">
        <x:v>1.25</x:v>
      </x:c>
      <x:c r="C13" s="24" t="str">
        <x:v>x current</x:v>
      </x:c>
      <x:c r="D13" s="24" t="str">
        <x:v>Engineering practice</x:v>
      </x:c>
      <x:c r="E13" s="24" t="str">
        <x:v>Breaker / conductor sizing basis</x:v>
      </x:c>
      <x:c r="F13" s="26" t="n">
        <x:v>1.2</x:v>
      </x:c>
      <x:c r="G13" s="26" t="n">
        <x:v>1.5</x:v>
      </x:c>
      <x:c r="H13" s="24" t="str">
        <x:v>Not certification guidance</x:v>
      </x:c>
    </x:row>
    <x:row r="14">
      <x:c r="A14" s="24" t="str">
        <x:v>Initial plant grow area</x:v>
      </x:c>
      <x:c r="B14" s="26" t="n">
        <x:v>25</x:v>
      </x:c>
      <x:c r="C14" s="24" t="str">
        <x:v>m² crop area</x:v>
      </x:c>
      <x:c r="D14" s="24" t="str">
        <x:v>Architecture choice</x:v>
      </x:c>
      <x:c r="E14" s="24" t="str">
        <x:v>Early expandable food/science module</x:v>
      </x:c>
      <x:c r="F14" s="26" t="n">
        <x:v>10</x:v>
      </x:c>
      <x:c r="G14" s="26" t="n">
        <x:v>50</x:v>
      </x:c>
      <x:c r="H14" s="24" t="str">
        <x:v>Stacked area can exceed floor area</x:v>
      </x:c>
    </x:row>
    <x:row r="15">
      <x:c r="A15" s="24" t="str">
        <x:v>Expanded plant grow area</x:v>
      </x:c>
      <x:c r="B15" s="26" t="n">
        <x:v>100</x:v>
      </x:c>
      <x:c r="C15" s="24" t="str">
        <x:v>m² crop area</x:v>
      </x:c>
      <x:c r="D15" s="24" t="str">
        <x:v>Architecture choice</x:v>
      </x:c>
      <x:c r="E15" s="24" t="str">
        <x:v>Expansion stage</x:v>
      </x:c>
      <x:c r="F15" s="26" t="n">
        <x:v>50</x:v>
      </x:c>
      <x:c r="G15" s="26" t="n">
        <x:v>200</x:v>
      </x:c>
      <x:c r="H15" s="24" t="str">
        <x:v>Still below full-food requirement</x:v>
      </x:c>
    </x:row>
    <x:row r="16">
      <x:c r="A16" s="24" t="str">
        <x:v>Reference full-food crop area for 6</x:v>
      </x:c>
      <x:c r="B16" s="26" t="n">
        <x:v>650</x:v>
      </x:c>
      <x:c r="C16" s="24" t="str">
        <x:v>m² crop area</x:v>
      </x:c>
      <x:c r="D16" s="24" t="str">
        <x:v>Published estimate</x:v>
      </x:c>
      <x:c r="E16" s="24" t="str">
        <x:v>Hasenstein et al. 2026 citing Zeidler et al. 2017</x:v>
      </x:c>
      <x:c r="F16" s="26" t="n">
        <x:v>500</x:v>
      </x:c>
      <x:c r="G16" s="26" t="n">
        <x:v>800</x:v>
      </x:c>
      <x:c r="H16" s="24" t="str">
        <x:v>Order-of-magnitude planning figure</x:v>
      </x:c>
    </x:row>
    <x:row r="17">
      <x:c r="A17" s="24" t="str">
        <x:v>Plant LED electrical density</x:v>
      </x:c>
      <x:c r="B17" s="26" t="n">
        <x:v>150</x:v>
      </x:c>
      <x:c r="C17" s="24" t="str">
        <x:v>W/m² lit</x:v>
      </x:c>
      <x:c r="D17" s="24" t="str">
        <x:v>Engineering estimate</x:v>
      </x:c>
      <x:c r="E17" s="24" t="str">
        <x:v>Efficient horticultural LED electrical input</x:v>
      </x:c>
      <x:c r="F17" s="26" t="n">
        <x:v>100</x:v>
      </x:c>
      <x:c r="G17" s="26" t="n">
        <x:v>220</x:v>
      </x:c>
      <x:c r="H17" s="24" t="str">
        <x:v>Before daylight offset</x:v>
      </x:c>
    </x:row>
    <x:row r="18">
      <x:c r="A18" s="24" t="str">
        <x:v>Plant photoperiod</x:v>
      </x:c>
      <x:c r="B18" s="26" t="n">
        <x:v>16</x:v>
      </x:c>
      <x:c r="C18" s="24" t="str">
        <x:v>h/day</x:v>
      </x:c>
      <x:c r="D18" s="24" t="str">
        <x:v>Engineering estimate</x:v>
      </x:c>
      <x:c r="E18" s="24" t="str">
        <x:v>Crop-dependent baseline</x:v>
      </x:c>
      <x:c r="F18" s="26" t="n">
        <x:v>12</x:v>
      </x:c>
      <x:c r="G18" s="26" t="n">
        <x:v>18</x:v>
      </x:c>
      <x:c r="H18" s="24" t="str">
        <x:v>Editable</x:v>
      </x:c>
    </x:row>
    <x:row r="19">
      <x:c r="A19" s="24" t="str">
        <x:v>Optical sunlight contribution</x:v>
      </x:c>
      <x:c r="B19" s="26" t="n">
        <x:v>0.7</x:v>
      </x:c>
      <x:c r="C19" s="24" t="str">
        <x:v>fraction of lighting energy</x:v>
      </x:c>
      <x:c r="D19" s="24" t="str">
        <x:v>Architecture target</x:v>
      </x:c>
      <x:c r="E19" s="24" t="str">
        <x:v>Solar concentrator/light-pipe offset</x:v>
      </x:c>
      <x:c r="F19" s="26" t="n">
        <x:v>0.3</x:v>
      </x:c>
      <x:c r="G19" s="26" t="n">
        <x:v>0.85</x:v>
      </x:c>
      <x:c r="H19" s="24" t="str">
        <x:v>Requires site-specific validation</x:v>
      </x:c>
    </x:row>
    <x:row r="20">
      <x:c r="A20" s="24" t="str">
        <x:v>Plant non-lighting load</x:v>
      </x:c>
      <x:c r="B20" s="26" t="n">
        <x:v>0.75</x:v>
      </x:c>
      <x:c r="C20" s="24" t="str">
        <x:v>kW</x:v>
      </x:c>
      <x:c r="D20" s="24" t="str">
        <x:v>Engineering estimate</x:v>
      </x:c>
      <x:c r="E20" s="24" t="str">
        <x:v>Pumps, fans, controls, sensors, nutrient handling</x:v>
      </x:c>
      <x:c r="F20" s="26" t="n">
        <x:v>0.4</x:v>
      </x:c>
      <x:c r="G20" s="26" t="n">
        <x:v>1.5</x:v>
      </x:c>
      <x:c r="H20" s="24" t="str">
        <x:v>Initial module</x:v>
      </x:c>
    </x:row>
    <x:row r="21">
      <x:c r="A21" s="24" t="str">
        <x:v>Battery usable fraction</x:v>
      </x:c>
      <x:c r="B21" s="26" t="n">
        <x:v>0.8</x:v>
      </x:c>
      <x:c r="C21" s="24" t="str">
        <x:v>fraction</x:v>
      </x:c>
      <x:c r="D21" s="24" t="str">
        <x:v>Engineering estimate</x:v>
      </x:c>
      <x:c r="E21" s="24" t="str">
        <x:v>Operational DoD reserve</x:v>
      </x:c>
      <x:c r="F21" s="26" t="n">
        <x:v>0.6</x:v>
      </x:c>
      <x:c r="G21" s="26" t="n">
        <x:v>0.9</x:v>
      </x:c>
      <x:c r="H21" s="24" t="str">
        <x:v>Editable</x:v>
      </x:c>
    </x:row>
    <x:row r="22">
      <x:c r="A22" s="24" t="str">
        <x:v>Critical autonomy target</x:v>
      </x:c>
      <x:c r="B22" s="26" t="n">
        <x:v>12</x:v>
      </x:c>
      <x:c r="C22" s="24" t="str">
        <x:v>hours</x:v>
      </x:c>
      <x:c r="D22" s="24" t="str">
        <x:v>Architecture choice</x:v>
      </x:c>
      <x:c r="E22" s="24" t="str">
        <x:v>Battery-supported critical-load endurance</x:v>
      </x:c>
      <x:c r="F22" s="26" t="n">
        <x:v>6</x:v>
      </x:c>
      <x:c r="G22" s="26" t="n">
        <x:v>24</x:v>
      </x:c>
      <x:c r="H22" s="24" t="str">
        <x:v>Fission reduces required duration</x:v>
      </x:c>
    </x:row>
    <x:row r="23">
      <x:c r="B23" s="27"/>
      <x:c r="F23" s="27"/>
      <x:c r="G23" s="27"/>
    </x:row>
    <x:row r="24">
      <x:c r="B24" s="27"/>
      <x:c r="F24" s="27"/>
      <x:c r="G24" s="27"/>
    </x:row>
    <x:row r="25">
      <x:c r="B25" s="27"/>
      <x:c r="F25" s="27"/>
      <x:c r="G25" s="27"/>
    </x:row>
    <x:row r="26">
      <x:c r="B26" s="27"/>
      <x:c r="F26" s="27"/>
      <x:c r="G26" s="27"/>
    </x:row>
    <x:row r="27">
      <x:c r="B27" s="27"/>
      <x:c r="F27" s="27"/>
      <x:c r="G27" s="27"/>
    </x:row>
    <x:row r="28">
      <x:c r="B28" s="27"/>
      <x:c r="F28" s="27"/>
      <x:c r="G28" s="27"/>
    </x:row>
    <x:row r="29">
      <x:c r="B29" s="27"/>
      <x:c r="F29" s="27"/>
      <x:c r="G29" s="27"/>
    </x:row>
    <x:row r="30">
      <x:c r="B30" s="27"/>
      <x:c r="F30" s="27"/>
      <x:c r="G30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38" hidden="0" customWidth="1"/>
    <x:col min="5" max="5" width="30" hidden="0" customWidth="1"/>
    <x:col min="6" max="6" width="36" hidden="0" customWidth="1"/>
    <x:col min="7" max="7" width="22" hidden="0" customWidth="1"/>
    <x:col min="8" max="8" width="30" hidden="0" customWidth="1"/>
  </x:cols>
  <x:sheetData>
    <x:row r="1" ht="28" customHeight="1">
      <x:c r="A1" s="5" t="str">
        <x:v>NASA-Aligned Lunar Surface Build Sequence (2026–2036)</x:v>
      </x:c>
    </x:row>
    <x:row r="3">
      <x:c r="A3" s="14" t="str">
        <x:v>Year/Phase</x:v>
      </x:c>
      <x:c r="B3" s="14" t="str">
        <x:v>NASA Architecture Context</x:v>
      </x:c>
      <x:c r="C3" s="14" t="str">
        <x:v>Habitation</x:v>
      </x:c>
      <x:c r="D3" s="14" t="str">
        <x:v>Power Infrastructure</x:v>
      </x:c>
      <x:c r="E3" s="14" t="str">
        <x:v>Mobility/Logistics</x:v>
      </x:c>
      <x:c r="F3" s="14" t="str">
        <x:v>Our Plant Module</x:v>
      </x:c>
      <x:c r="G3" s="14" t="str">
        <x:v>Model Status</x:v>
      </x:c>
      <x:c r="H3" s="14" t="str">
        <x:v>Source</x:v>
      </x:c>
    </x:row>
    <x:row r="4">
      <x:c r="A4" s="24" t="str">
        <x:v>2026–2028 / Phase 1</x:v>
      </x:c>
      <x:c r="B4" s="24" t="str">
        <x:v>Robotic access, technology demos, South Pole site learning</x:v>
      </x:c>
      <x:c r="C4" s="24" t="str">
        <x:v>No permanent surface crew assumed</x:v>
      </x:c>
      <x:c r="D4" s="24" t="str">
        <x:v>Asset-local power; VSAT maturation; storage; cable/power exchange demos</x:v>
      </x:c>
      <x:c r="E4" s="24" t="str">
        <x:v>CLPS/cargo/rovers grow</x:v>
      </x:c>
      <x:c r="F4" s="24" t="str">
        <x:v>Plant tech demos / packaged growth payloads</x:v>
      </x:c>
      <x:c r="G4" s="24" t="str">
        <x:v>NASA-aligned</x:v>
      </x:c>
      <x:c r="H4" s="24" t="str">
        <x:v>NASA Moon Base Phase 1</x:v>
      </x:c>
    </x:row>
    <x:row r="5">
      <x:c r="A5" s="24" t="str">
        <x:v>2028</x:v>
      </x:c>
      <x:c r="B5" s="24" t="str">
        <x:v>Foundational deliveries increase</x:v>
      </x:c>
      <x:c r="C5" s="24" t="str">
        <x:v>Crewed surface return architecture; short stays</x:v>
      </x:c>
      <x:c r="D5" s="24" t="str">
        <x:v>10 kW-class VSAT technology path; self-sufficient elements exchange power at 120 VDC</x:v>
      </x:c>
      <x:c r="E5" s="24" t="str">
        <x:v>Cargo landers and lunar vehicles expand</x:v>
      </x:c>
      <x:c r="F5" s="24" t="str">
        <x:v>No dedicated food module yet; test crop hardware</x:v>
      </x:c>
      <x:c r="G5" s="24" t="str">
        <x:v>NASA + engineering integration</x:v>
      </x:c>
      <x:c r="H5" s="24" t="str">
        <x:v>NASA TechPort / NTRS</x:v>
      </x:c>
    </x:row>
    <x:row r="6">
      <x:c r="A6" s="24" t="str">
        <x:v>2029–2030 / Phase 2</x:v>
      </x:c>
      <x:c r="B6" s="24" t="str">
        <x:v>Build and expand; early habitation infrastructure</x:v>
      </x:c>
      <x:c r="C6" s="24" t="str">
        <x:v>Initial pressurized modules for short-duration stays</x:v>
      </x:c>
      <x:c r="D6" s="24" t="str">
        <x:v>Improved solar + initial nuclear-based power; Lunar Reactor-1 target 2030</x:v>
      </x:c>
      <x:c r="E6" s="24" t="str">
        <x:v>Surface mating/logistics capability grows</x:v>
      </x:c>
      <x:c r="F6" s="24" t="str">
        <x:v>Deploy first 25 m² crop-area plant module if logistics allow</x:v>
      </x:c>
      <x:c r="G6" s="24" t="str">
        <x:v>Architecture option</x:v>
      </x:c>
      <x:c r="H6" s="24" t="str">
        <x:v>NASA Moon Base Phase 2</x:v>
      </x:c>
    </x:row>
    <x:row r="7">
      <x:c r="A7" s="24" t="str">
        <x:v>2030</x:v>
      </x:c>
      <x:c r="B7" s="24" t="str">
        <x:v>NASA target for first lunar fission reactor</x:v>
      </x:c>
      <x:c r="C7" s="24" t="str">
        <x:v>Early habitat cluster</x:v>
      </x:c>
      <x:c r="D7" s="24" t="str">
        <x:v>≥40 kW-class fission surface power becomes baseload candidate</x:v>
      </x:c>
      <x:c r="E7" s="24" t="str">
        <x:v>Expanded cargo and rover support</x:v>
      </x:c>
      <x:c r="F7" s="24" t="str">
        <x:v>Plant module moves from science-only toward partial food contribution</x:v>
      </x:c>
      <x:c r="G7" s="24" t="str">
        <x:v>NASA target + model choice</x:v>
      </x:c>
      <x:c r="H7" s="24" t="str">
        <x:v>NASA/DOE 2026</x:v>
      </x:c>
    </x:row>
    <x:row r="8">
      <x:c r="A8" s="24" t="str">
        <x:v>2031–2032</x:v>
      </x:c>
      <x:c r="B8" s="24" t="str">
        <x:v>Phase 2 approaches sustained infrastructure</x:v>
      </x:c>
      <x:c r="C8" s="24" t="str">
        <x:v>Multiple modules / greater occupancy</x:v>
      </x:c>
      <x:c r="D8" s="24" t="str">
        <x:v>Hybrid solar + fission + storage + distributed feeders</x:v>
      </x:c>
      <x:c r="E8" s="24" t="str">
        <x:v>Pressurized mobility/logistics maturation</x:v>
      </x:c>
      <x:c r="F8" s="24" t="str">
        <x:v>Expand to 50–100 m² crop area; daylight-concentrator integration</x:v>
      </x:c>
      <x:c r="G8" s="24" t="str">
        <x:v>Engineering scenario</x:v>
      </x:c>
      <x:c r="H8" s="24" t="str">
        <x:v>NASA phase plan</x:v>
      </x:c>
    </x:row>
    <x:row r="9">
      <x:c r="A9" s="24" t="str">
        <x:v>2032+ / Phase 3</x:v>
      </x:c>
      <x:c r="B9" s="24" t="str">
        <x:v>Live and work on Moon; enduring presence</x:v>
      </x:c>
      <x:c r="C9" s="24" t="str">
        <x:v>100 m³-class modules, airlocks, aggregation nodes</x:v>
      </x:c>
      <x:c r="D9" s="24" t="str">
        <x:v>Operational fission + expanded distribution; advanced charging/connectors</x:v>
      </x:c>
      <x:c r="E9" s="24" t="str">
        <x:v>Routine logistics and pressurized rovers</x:v>
      </x:c>
      <x:c r="F9" s="24" t="str">
        <x:v>Modular greenhouse farm scales in increments; eventually hundreds of m²</x:v>
      </x:c>
      <x:c r="G9" s="24" t="str">
        <x:v>NASA-aligned concept</x:v>
      </x:c>
      <x:c r="H9" s="24" t="str">
        <x:v>NASA Moon Base Systems</x:v>
      </x:c>
    </x:row>
    <x:row r="10">
      <x:c r="A10" s="24" t="str">
        <x:v>2033–2036</x:v>
      </x:c>
      <x:c r="B10" s="24" t="str">
        <x:v>Scaled Moon Base</x:v>
      </x:c>
      <x:c r="C10" s="24" t="str">
        <x:v>Larger long-duration base modules</x:v>
      </x:c>
      <x:c r="D10" s="24" t="str">
        <x:v>Multiple generation nodes; grid-like architecture</x:v>
      </x:c>
      <x:c r="E10" s="24" t="str">
        <x:v>Higher annual cargo throughput</x:v>
      </x:c>
      <x:c r="F10" s="24" t="str">
        <x:v>Add parallel plant modules rather than one oversized unit</x:v>
      </x:c>
      <x:c r="G10" s="24" t="str">
        <x:v>Engineering recommendation</x:v>
      </x:c>
      <x:c r="H10" s="24" t="str">
        <x:v>NASA Moon Base plan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20" hidden="0" customWidth="1"/>
    <x:col min="11" max="11" width="12" hidden="0" customWidth="1"/>
    <x:col min="12" max="12" width="24" hidden="0" customWidth="1"/>
    <x:col min="13" max="13" width="38" hidden="0" customWidth="1"/>
  </x:cols>
  <x:sheetData>
    <x:row r="1" ht="28" customHeight="1">
      <x:c r="A1" s="5" t="str">
        <x:v>Facility-Level Electrical Load Model</x:v>
      </x:c>
    </x:row>
    <x:row r="3">
      <x:c r="A3" s="14" t="str">
        <x:v>Facility / Load Center</x:v>
      </x:c>
      <x:c r="B3" s="14" t="str">
        <x:v>Priority</x:v>
      </x:c>
      <x:c r="C3" s="14" t="str">
        <x:v>Nom Avg kW (6)</x:v>
      </x:c>
      <x:c r="D3" s="14" t="str">
        <x:v>Handover Avg kW (12)</x:v>
      </x:c>
      <x:c r="E3" s="14" t="str">
        <x:v>Peak Factor</x:v>
      </x:c>
      <x:c r="F3" s="14" t="str">
        <x:v>Nom Peak kW</x:v>
      </x:c>
      <x:c r="G3" s="14" t="str">
        <x:v>Handover Peak kW</x:v>
      </x:c>
      <x:c r="H3" s="14" t="str">
        <x:v>Daily kWh (6)</x:v>
      </x:c>
      <x:c r="I3" s="14" t="str">
        <x:v>Daily kWh (12)</x:v>
      </x:c>
      <x:c r="J3" s="14" t="str">
        <x:v>Bus</x:v>
      </x:c>
      <x:c r="K3" s="14" t="str">
        <x:v>Expandable?</x:v>
      </x:c>
      <x:c r="L3" s="14" t="str">
        <x:v>Basis</x:v>
      </x:c>
      <x:c r="M3" s="14" t="str">
        <x:v>Notes</x:v>
      </x:c>
    </x:row>
    <x:row r="4">
      <x:c r="A4" s="24" t="str">
        <x:v>Habitation + ECLSS</x:v>
      </x:c>
      <x:c r="B4" s="24" t="str">
        <x:v>Critical</x:v>
      </x:c>
      <x:c r="C4" s="26" t="n">
        <x:v>4.6</x:v>
      </x:c>
      <x:c r="D4" s="26" t="n">
        <x:v>6.4</x:v>
      </x:c>
      <x:c r="E4" s="26" t="n">
        <x:v>1.35</x:v>
      </x:c>
      <x:c r="F4" s="26" t="n">
        <x:f>C4*E4</x:f>
        <x:v>6.21</x:v>
      </x:c>
      <x:c r="G4" s="26" t="n">
        <x:f>D4*E4</x:f>
        <x:v>8.64</x:v>
      </x:c>
      <x:c r="H4" s="26" t="n">
        <x:f>C4*24</x:f>
        <x:v>110.39999999999999</x:v>
      </x:c>
      <x:c r="I4" s="26" t="n">
        <x:f>D4*24</x:f>
        <x:v>153.60000000000002</x:v>
      </x:c>
      <x:c r="J4" s="24" t="str">
        <x:v>120 VDC local</x:v>
      </x:c>
      <x:c r="K4" s="24" t="str">
        <x:v>Yes</x:v>
      </x:c>
      <x:c r="L4" s="24" t="str">
        <x:v>Engineering allocation</x:v>
      </x:c>
      <x:c r="M4" s="24" t="str">
        <x:v>Air circulation, CO₂ removal, water loops, hygiene, controls</x:v>
      </x:c>
    </x:row>
    <x:row r="5">
      <x:c r="A5" s="24" t="str">
        <x:v>Thermal Control</x:v>
      </x:c>
      <x:c r="B5" s="24" t="str">
        <x:v>Critical</x:v>
      </x:c>
      <x:c r="C5" s="26" t="n">
        <x:v>1.8</x:v>
      </x:c>
      <x:c r="D5" s="26" t="n">
        <x:v>2.4</x:v>
      </x:c>
      <x:c r="E5" s="26" t="n">
        <x:v>1.45</x:v>
      </x:c>
      <x:c r="F5" s="26" t="n">
        <x:f>C5*E5</x:f>
        <x:v>2.61</x:v>
      </x:c>
      <x:c r="G5" s="26" t="n">
        <x:f>D5*E5</x:f>
        <x:v>3.48</x:v>
      </x:c>
      <x:c r="H5" s="26" t="n">
        <x:f>C5*24</x:f>
        <x:v>43.2</x:v>
      </x:c>
      <x:c r="I5" s="26" t="n">
        <x:f>D5*24</x:f>
        <x:v>57.599999999999994</x:v>
      </x:c>
      <x:c r="J5" s="24" t="str">
        <x:v>120 VDC local</x:v>
      </x:c>
      <x:c r="K5" s="24" t="str">
        <x:v>Yes</x:v>
      </x:c>
      <x:c r="L5" s="24" t="str">
        <x:v>Engineering allocation</x:v>
      </x:c>
      <x:c r="M5" s="24" t="str">
        <x:v>Pumps, heat rejection controls; site/season dependent</x:v>
      </x:c>
    </x:row>
    <x:row r="6">
      <x:c r="A6" s="24" t="str">
        <x:v>Command / Avionics / PNT</x:v>
      </x:c>
      <x:c r="B6" s="24" t="str">
        <x:v>Critical</x:v>
      </x:c>
      <x:c r="C6" s="26" t="n">
        <x:v>0.7</x:v>
      </x:c>
      <x:c r="D6" s="26" t="n">
        <x:v>0.8</x:v>
      </x:c>
      <x:c r="E6" s="26" t="n">
        <x:v>1.2</x:v>
      </x:c>
      <x:c r="F6" s="26" t="n">
        <x:f>C6*E6</x:f>
        <x:v>0.84</x:v>
      </x:c>
      <x:c r="G6" s="26" t="n">
        <x:f>D6*E6</x:f>
        <x:v>0.96</x:v>
      </x:c>
      <x:c r="H6" s="26" t="n">
        <x:f>C6*24</x:f>
        <x:v>16.799999999999997</x:v>
      </x:c>
      <x:c r="I6" s="26" t="n">
        <x:f>D6*24</x:f>
        <x:v>19.200000000000003</x:v>
      </x:c>
      <x:c r="J6" s="24" t="str">
        <x:v>120/28 VDC</x:v>
      </x:c>
      <x:c r="K6" s="24" t="str">
        <x:v>Yes</x:v>
      </x:c>
      <x:c r="L6" s="24" t="str">
        <x:v>Engineering allocation</x:v>
      </x:c>
      <x:c r="M6" s="24" t="str">
        <x:v>Flight-like computing, timing, navigation</x:v>
      </x:c>
    </x:row>
    <x:row r="7">
      <x:c r="A7" s="24" t="str">
        <x:v>Communications</x:v>
      </x:c>
      <x:c r="B7" s="24" t="str">
        <x:v>Critical</x:v>
      </x:c>
      <x:c r="C7" s="26" t="n">
        <x:v>0.8</x:v>
      </x:c>
      <x:c r="D7" s="26" t="n">
        <x:v>1</x:v>
      </x:c>
      <x:c r="E7" s="26" t="n">
        <x:v>1.5</x:v>
      </x:c>
      <x:c r="F7" s="26" t="n">
        <x:f>C7*E7</x:f>
        <x:v>1.2000000000000002</x:v>
      </x:c>
      <x:c r="G7" s="26" t="n">
        <x:f>D7*E7</x:f>
        <x:v>1.5</x:v>
      </x:c>
      <x:c r="H7" s="26" t="n">
        <x:f>C7*24</x:f>
        <x:v>19.200000000000003</x:v>
      </x:c>
      <x:c r="I7" s="26" t="n">
        <x:f>D7*24</x:f>
        <x:v>24</x:v>
      </x:c>
      <x:c r="J7" s="24" t="str">
        <x:v>120/28 VDC</x:v>
      </x:c>
      <x:c r="K7" s="24" t="str">
        <x:v>Yes</x:v>
      </x:c>
      <x:c r="L7" s="24" t="str">
        <x:v>Engineering allocation</x:v>
      </x:c>
      <x:c r="M7" s="24" t="str">
        <x:v>Surface + Earth relay, networking</x:v>
      </x:c>
    </x:row>
    <x:row r="8">
      <x:c r="A8" s="24" t="str">
        <x:v>Lighting / Internal Utility</x:v>
      </x:c>
      <x:c r="B8" s="24" t="str">
        <x:v>Essential</x:v>
      </x:c>
      <x:c r="C8" s="26" t="n">
        <x:v>0.7</x:v>
      </x:c>
      <x:c r="D8" s="26" t="n">
        <x:v>1</x:v>
      </x:c>
      <x:c r="E8" s="26" t="n">
        <x:v>1.5</x:v>
      </x:c>
      <x:c r="F8" s="26" t="n">
        <x:f>C8*E8</x:f>
        <x:v>1.0499999999999998</x:v>
      </x:c>
      <x:c r="G8" s="26" t="n">
        <x:f>D8*E8</x:f>
        <x:v>1.5</x:v>
      </x:c>
      <x:c r="H8" s="26" t="n">
        <x:f>C8*24</x:f>
        <x:v>16.799999999999997</x:v>
      </x:c>
      <x:c r="I8" s="26" t="n">
        <x:f>D8*24</x:f>
        <x:v>24</x:v>
      </x:c>
      <x:c r="J8" s="24" t="str">
        <x:v>120 VDC</x:v>
      </x:c>
      <x:c r="K8" s="24" t="str">
        <x:v>Yes</x:v>
      </x:c>
      <x:c r="L8" s="24" t="str">
        <x:v>Engineering allocation</x:v>
      </x:c>
      <x:c r="M8" s="24" t="str">
        <x:v>Habitable volume lighting and utility</x:v>
      </x:c>
    </x:row>
    <x:row r="9">
      <x:c r="A9" s="24" t="str">
        <x:v>Galley / Food / Hygiene</x:v>
      </x:c>
      <x:c r="B9" s="24" t="str">
        <x:v>Essential</x:v>
      </x:c>
      <x:c r="C9" s="26" t="n">
        <x:v>0.65</x:v>
      </x:c>
      <x:c r="D9" s="26" t="n">
        <x:v>1.4</x:v>
      </x:c>
      <x:c r="E9" s="26" t="n">
        <x:v>2.5</x:v>
      </x:c>
      <x:c r="F9" s="26" t="n">
        <x:f>C9*E9</x:f>
        <x:v>1.625</x:v>
      </x:c>
      <x:c r="G9" s="26" t="n">
        <x:f>D9*E9</x:f>
        <x:v>3.5</x:v>
      </x:c>
      <x:c r="H9" s="26" t="n">
        <x:f>C9*24</x:f>
        <x:v>15.600000000000001</x:v>
      </x:c>
      <x:c r="I9" s="26" t="n">
        <x:f>D9*24</x:f>
        <x:v>33.599999999999994</x:v>
      </x:c>
      <x:c r="J9" s="24" t="str">
        <x:v>120 VDC</x:v>
      </x:c>
      <x:c r="K9" s="24" t="str">
        <x:v>Yes</x:v>
      </x:c>
      <x:c r="L9" s="24" t="str">
        <x:v>Engineering allocation</x:v>
      </x:c>
      <x:c r="M9" s="24" t="str">
        <x:v>High peak, low duty-cycle loads</x:v>
      </x:c>
    </x:row>
    <x:row r="10">
      <x:c r="A10" s="24" t="str">
        <x:v>Science / Laboratory</x:v>
      </x:c>
      <x:c r="B10" s="24" t="str">
        <x:v>Discretionary</x:v>
      </x:c>
      <x:c r="C10" s="26" t="n">
        <x:v>0.8</x:v>
      </x:c>
      <x:c r="D10" s="26" t="n">
        <x:v>1</x:v>
      </x:c>
      <x:c r="E10" s="26" t="n">
        <x:v>1.75</x:v>
      </x:c>
      <x:c r="F10" s="26" t="n">
        <x:f>C10*E10</x:f>
        <x:v>1.4000000000000001</x:v>
      </x:c>
      <x:c r="G10" s="26" t="n">
        <x:f>D10*E10</x:f>
        <x:v>1.75</x:v>
      </x:c>
      <x:c r="H10" s="26" t="n">
        <x:f>C10*24</x:f>
        <x:v>19.200000000000003</x:v>
      </x:c>
      <x:c r="I10" s="26" t="n">
        <x:f>D10*24</x:f>
        <x:v>24</x:v>
      </x:c>
      <x:c r="J10" s="24" t="str">
        <x:v>120 VDC</x:v>
      </x:c>
      <x:c r="K10" s="24" t="str">
        <x:v>Yes</x:v>
      </x:c>
      <x:c r="L10" s="24" t="str">
        <x:v>Engineering allocation</x:v>
      </x:c>
      <x:c r="M10" s="24" t="str">
        <x:v>Mission-variable</x:v>
      </x:c>
    </x:row>
    <x:row r="11">
      <x:c r="A11" s="24" t="str">
        <x:v>Rover / EVA Charging</x:v>
      </x:c>
      <x:c r="B11" s="24" t="str">
        <x:v>Essential</x:v>
      </x:c>
      <x:c r="C11" s="26" t="n">
        <x:v>1</x:v>
      </x:c>
      <x:c r="D11" s="26" t="n">
        <x:v>1.5</x:v>
      </x:c>
      <x:c r="E11" s="26" t="n">
        <x:v>2</x:v>
      </x:c>
      <x:c r="F11" s="26" t="n">
        <x:f>C11*E11</x:f>
        <x:v>2</x:v>
      </x:c>
      <x:c r="G11" s="26" t="n">
        <x:f>D11*E11</x:f>
        <x:v>3</x:v>
      </x:c>
      <x:c r="H11" s="26" t="n">
        <x:f>C11*24</x:f>
        <x:v>24</x:v>
      </x:c>
      <x:c r="I11" s="26" t="n">
        <x:f>D11*24</x:f>
        <x:v>36</x:v>
      </x:c>
      <x:c r="J11" s="24" t="str">
        <x:v>120 VDC / HV trunk</x:v>
      </x:c>
      <x:c r="K11" s="24" t="str">
        <x:v>Yes</x:v>
      </x:c>
      <x:c r="L11" s="24" t="str">
        <x:v>Engineering allocation</x:v>
      </x:c>
      <x:c r="M11" s="24" t="str">
        <x:v>Scheduleable load</x:v>
      </x:c>
    </x:row>
    <x:row r="12">
      <x:c r="A12" s="24" t="str">
        <x:v>Logistics / Maintenance</x:v>
      </x:c>
      <x:c r="B12" s="24" t="str">
        <x:v>Discretionary</x:v>
      </x:c>
      <x:c r="C12" s="26" t="n">
        <x:v>0.4</x:v>
      </x:c>
      <x:c r="D12" s="26" t="n">
        <x:v>0.6</x:v>
      </x:c>
      <x:c r="E12" s="26" t="n">
        <x:v>1.75</x:v>
      </x:c>
      <x:c r="F12" s="26" t="n">
        <x:f>C12*E12</x:f>
        <x:v>0.7000000000000001</x:v>
      </x:c>
      <x:c r="G12" s="26" t="n">
        <x:f>D12*E12</x:f>
        <x:v>1.05</x:v>
      </x:c>
      <x:c r="H12" s="26" t="n">
        <x:f>C12*24</x:f>
        <x:v>9.600000000000001</x:v>
      </x:c>
      <x:c r="I12" s="26" t="n">
        <x:f>D12*24</x:f>
        <x:v>14.399999999999999</x:v>
      </x:c>
      <x:c r="J12" s="24" t="str">
        <x:v>120 VDC</x:v>
      </x:c>
      <x:c r="K12" s="24" t="str">
        <x:v>Yes</x:v>
      </x:c>
      <x:c r="L12" s="24" t="str">
        <x:v>Engineering allocation</x:v>
      </x:c>
      <x:c r="M12" s="24" t="str">
        <x:v>Tools, spares handling</x:v>
      </x:c>
    </x:row>
    <x:row r="13">
      <x:c r="A13" s="24" t="str">
        <x:v>Plant Module - initial</x:v>
      </x:c>
      <x:c r="B13" s="24" t="str">
        <x:v>Essential</x:v>
      </x:c>
      <x:c r="C13" s="26" t="n">
        <x:v>0.75</x:v>
      </x:c>
      <x:c r="D13" s="26" t="n">
        <x:v>0.75</x:v>
      </x:c>
      <x:c r="E13" s="26" t="n">
        <x:v>1.3</x:v>
      </x:c>
      <x:c r="F13" s="26" t="n">
        <x:f>C13*E13</x:f>
        <x:v>0.9750000000000001</x:v>
      </x:c>
      <x:c r="G13" s="26" t="n">
        <x:f>D13*E13</x:f>
        <x:v>0.9750000000000001</x:v>
      </x:c>
      <x:c r="H13" s="26" t="n">
        <x:f>C13*24</x:f>
        <x:v>18</x:v>
      </x:c>
      <x:c r="I13" s="26" t="n">
        <x:f>D13*24</x:f>
        <x:v>18</x:v>
      </x:c>
      <x:c r="J13" s="24" t="str">
        <x:v>120 VDC local</x:v>
      </x:c>
      <x:c r="K13" s="24" t="str">
        <x:v>Yes</x:v>
      </x:c>
      <x:c r="L13" s="24" t="str">
        <x:v>Derived separately</x:v>
      </x:c>
      <x:c r="M13" s="24" t="str">
        <x:v>Non-lighting base load; lighting netted in plant sheet</x:v>
      </x:c>
    </x:row>
    <x:row r="14">
      <x:c r="A14" s="24" t="str">
        <x:v>Plant Lighting - net electric</x:v>
      </x:c>
      <x:c r="B14" s="24" t="str">
        <x:v>Discretionary</x:v>
      </x:c>
      <x:c r="C14" s="26" t="n">
        <x:v>0.3</x:v>
      </x:c>
      <x:c r="D14" s="26" t="n">
        <x:v>0.3</x:v>
      </x:c>
      <x:c r="E14" s="26" t="n">
        <x:v>1.1</x:v>
      </x:c>
      <x:c r="F14" s="26" t="n">
        <x:f>C14*E14</x:f>
        <x:v>0.33</x:v>
      </x:c>
      <x:c r="G14" s="26" t="n">
        <x:f>D14*E14</x:f>
        <x:v>0.33</x:v>
      </x:c>
      <x:c r="H14" s="26" t="n">
        <x:f>C14*24</x:f>
        <x:v>7.199999999999999</x:v>
      </x:c>
      <x:c r="I14" s="26" t="n">
        <x:f>D14*24</x:f>
        <x:v>7.199999999999999</x:v>
      </x:c>
      <x:c r="J14" s="24" t="str">
        <x:v>120 VDC local</x:v>
      </x:c>
      <x:c r="K14" s="24" t="str">
        <x:v>Yes</x:v>
      </x:c>
      <x:c r="L14" s="24" t="str">
        <x:v>Placeholder linked concept</x:v>
      </x:c>
      <x:c r="M14" s="24" t="str">
        <x:v>Daylight-concentrator target reduces LED demand</x:v>
      </x:c>
    </x:row>
    <x:row r="15">
      <x:c r="A15" s="24" t="str">
        <x:v>ISRU / Construction Pilot</x:v>
      </x:c>
      <x:c r="B15" s="24" t="str">
        <x:v>Discretionary</x:v>
      </x:c>
      <x:c r="C15" s="26" t="n">
        <x:v>0</x:v>
      </x:c>
      <x:c r="D15" s="26" t="n">
        <x:v>0</x:v>
      </x:c>
      <x:c r="E15" s="26" t="n">
        <x:v>3</x:v>
      </x:c>
      <x:c r="F15" s="26" t="n">
        <x:f>C15*E15</x:f>
        <x:v>0</x:v>
      </x:c>
      <x:c r="G15" s="26" t="n">
        <x:f>D15*E15</x:f>
        <x:v>0</x:v>
      </x:c>
      <x:c r="H15" s="26" t="n">
        <x:f>C15*24</x:f>
        <x:v>0</x:v>
      </x:c>
      <x:c r="I15" s="26" t="n">
        <x:f>D15*24</x:f>
        <x:v>0</x:v>
      </x:c>
      <x:c r="J15" s="24" t="str">
        <x:v>HV trunk/local converter</x:v>
      </x:c>
      <x:c r="K15" s="24" t="str">
        <x:v>Yes</x:v>
      </x:c>
      <x:c r="L15" s="24" t="str">
        <x:v>Engineering allocation</x:v>
      </x:c>
      <x:c r="M15" s="24" t="str">
        <x:v>Scheduleable process load; excluded from steady occupied average and run when generation margin permits</x:v>
      </x:c>
    </x:row>
    <x:row r="16">
      <x:c r="A16" s="24" t="str">
        <x:v>Reserve / Growth Allowance</x:v>
      </x:c>
      <x:c r="B16" s="24" t="str">
        <x:v>Essential</x:v>
      </x:c>
      <x:c r="C16" s="26" t="n">
        <x:v>0</x:v>
      </x:c>
      <x:c r="D16" s="26" t="n">
        <x:v>0.35</x:v>
      </x:c>
      <x:c r="E16" s="26" t="n">
        <x:v>1</x:v>
      </x:c>
      <x:c r="F16" s="26" t="n">
        <x:f>C16*E16</x:f>
        <x:v>0</x:v>
      </x:c>
      <x:c r="G16" s="26" t="n">
        <x:f>D16*E16</x:f>
        <x:v>0.35</x:v>
      </x:c>
      <x:c r="H16" s="26" t="n">
        <x:f>C16*24</x:f>
        <x:v>0</x:v>
      </x:c>
      <x:c r="I16" s="26" t="n">
        <x:f>D16*24</x:f>
        <x:v>8.399999999999999</x:v>
      </x:c>
      <x:c r="J16" s="24" t="str">
        <x:v>Any</x:v>
      </x:c>
      <x:c r="K16" s="24" t="str">
        <x:v>Yes</x:v>
      </x:c>
      <x:c r="L16" s="24" t="str">
        <x:v>Balancing allowance</x:v>
      </x:c>
      <x:c r="M16" s="24" t="str">
        <x:v>Handover-only reserve / concurrent utility allowance</x:v>
      </x:c>
    </x:row>
    <x:row r="17">
      <x:c r="A17" s="24"/>
      <x:c r="B17" s="24"/>
      <x:c r="C17" s="26"/>
      <x:c r="D17" s="26"/>
      <x:c r="E17" s="26"/>
      <x:c r="F17" s="26"/>
      <x:c r="G17" s="26"/>
      <x:c r="H17" s="26"/>
      <x:c r="I17" s="26"/>
      <x:c r="J17" s="24"/>
      <x:c r="K17" s="24"/>
      <x:c r="L17" s="24"/>
      <x:c r="M17" s="24"/>
    </x:row>
    <x:row r="18">
      <x:c r="A18" s="41" t="str">
        <x:v>TOTAL AVERAGE</x:v>
      </x:c>
      <x:c r="B18" s="41" t="str"/>
      <x:c r="C18" s="42" t="n">
        <x:f>SUM(C4:C16)</x:f>
        <x:v>12.500000000000002</x:v>
      </x:c>
      <x:c r="D18" s="42" t="n">
        <x:f>SUM(D4:D16)</x:f>
        <x:v>17.500000000000004</x:v>
      </x:c>
      <x:c r="E18" s="42"/>
      <x:c r="F18" s="42"/>
      <x:c r="G18" s="42"/>
      <x:c r="H18" s="42"/>
      <x:c r="I18" s="42"/>
      <x:c r="J18" s="24"/>
      <x:c r="K18" s="24"/>
      <x:c r="L18" s="24"/>
      <x:c r="M18" s="24"/>
    </x:row>
    <x:row r="19">
      <x:c r="A19" s="41" t="str">
        <x:v>TOTAL DAILY ENERGY</x:v>
      </x:c>
      <x:c r="B19" s="41" t="str"/>
      <x:c r="C19" s="42"/>
      <x:c r="D19" s="42"/>
      <x:c r="E19" s="42"/>
      <x:c r="F19" s="42"/>
      <x:c r="G19" s="42"/>
      <x:c r="H19" s="42" t="n">
        <x:f>SUM(H4:H16)</x:f>
        <x:v>300</x:v>
      </x:c>
      <x:c r="I19" s="42" t="n">
        <x:f>SUM(I4:I16)</x:f>
        <x:v>419.99999999999994</x:v>
      </x:c>
      <x:c r="J19" s="24"/>
      <x:c r="K19" s="24"/>
      <x:c r="L19" s="24"/>
      <x:c r="M19" s="24"/>
    </x:row>
    <x:row r="20">
      <x:c r="A20" s="41" t="str">
        <x:v>MODEL TARGET</x:v>
      </x:c>
      <x:c r="B20" s="41" t="str"/>
      <x:c r="C20" s="42" t="n">
        <x:f>Assumptions!B6</x:f>
        <x:v>12.5</x:v>
      </x:c>
      <x:c r="D20" s="42" t="n">
        <x:f>Assumptions!B7</x:f>
        <x:v>17.5</x:v>
      </x:c>
      <x:c r="E20" s="42"/>
      <x:c r="F20" s="42"/>
      <x:c r="G20" s="42"/>
      <x:c r="H20" s="42"/>
      <x:c r="I20" s="42"/>
      <x:c r="J20" s="24"/>
      <x:c r="K20" s="24"/>
      <x:c r="L20" s="24"/>
      <x:c r="M20" s="24"/>
    </x:row>
    <x:row r="21">
      <x:c r="A21" s="41" t="str">
        <x:v>DELTA TO TARGET</x:v>
      </x:c>
      <x:c r="B21" s="41" t="str"/>
      <x:c r="C21" s="42" t="n">
        <x:f>C18-C20</x:f>
        <x:v>1.7763568394002505e-15</x:v>
      </x:c>
      <x:c r="D21" s="42" t="n">
        <x:f>D18-D20</x:f>
        <x:v>3.552713678800501e-15</x:v>
      </x:c>
      <x:c r="E21" s="42"/>
      <x:c r="F21" s="42"/>
      <x:c r="G21" s="42"/>
      <x:c r="H21" s="42"/>
      <x:c r="I21" s="42"/>
      <x:c r="J21" s="24"/>
      <x:c r="K21" s="24"/>
      <x:c r="L21" s="24"/>
      <x:c r="M21" s="24"/>
    </x:row>
  </x:sheetData>
  <x:mergeCells>
    <x:mergeCell ref="A1:M1"/>
  </x:mergeCells>
  <x:conditionalFormatting sqref="A4:A16">
    <x:cfRule type="expression" dxfId="0" priority="1">
      <x:formula>$B4="Critical"</x:formula>
    </x:cfRule>
    <x:cfRule type="expression" dxfId="1" priority="2">
      <x:formula>$B4="Essential"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5" hidden="0" customWidth="1"/>
    <x:col min="5" max="5" width="18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14" hidden="0" customWidth="1"/>
  </x:cols>
  <x:sheetData>
    <x:row r="1" ht="28" customHeight="1">
      <x:c r="A1" s="5" t="str">
        <x:v>Expandable Plant Module — Power and Area Sizing</x:v>
      </x:c>
    </x:row>
    <x:row r="3">
      <x:c r="A3" s="14" t="str">
        <x:v>Stage</x:v>
      </x:c>
      <x:c r="B3" s="14" t="str">
        <x:v>Crop Area m²</x:v>
      </x:c>
      <x:c r="C3" s="14" t="str">
        <x:v>LED W/m²</x:v>
      </x:c>
      <x:c r="D3" s="14" t="str">
        <x:v>Photoperiod h</x:v>
      </x:c>
      <x:c r="E3" s="14" t="str">
        <x:v>Raw LED kWh/day</x:v>
      </x:c>
      <x:c r="F3" s="14" t="str">
        <x:v>Sunlight Offset</x:v>
      </x:c>
      <x:c r="G3" s="14" t="str">
        <x:v>Net LED kWh/day</x:v>
      </x:c>
      <x:c r="H3" s="14" t="str">
        <x:v>Non-lighting kWh/day</x:v>
      </x:c>
      <x:c r="I3" s="14" t="str">
        <x:v>Total kWh/day</x:v>
      </x:c>
      <x:c r="J3" s="14" t="str">
        <x:v>Avg kW</x:v>
      </x:c>
    </x:row>
    <x:row r="4">
      <x:c r="A4" s="24" t="str">
        <x:v>Initial</x:v>
      </x:c>
      <x:c r="B4" s="26" t="n">
        <x:v>25</x:v>
      </x:c>
      <x:c r="C4" s="26" t="n">
        <x:v>150</x:v>
      </x:c>
      <x:c r="D4" s="26" t="n">
        <x:v>16</x:v>
      </x:c>
      <x:c r="E4" s="26" t="n">
        <x:f>B4*C4*D4/1000</x:f>
        <x:v>60</x:v>
      </x:c>
      <x:c r="F4" s="26" t="n">
        <x:v>0.7</x:v>
      </x:c>
      <x:c r="G4" s="26" t="n">
        <x:f>E4*(1-F4)</x:f>
        <x:v>18.000000000000004</x:v>
      </x:c>
      <x:c r="H4" s="26" t="n">
        <x:v>18</x:v>
      </x:c>
      <x:c r="I4" s="26" t="n">
        <x:f>G4+H4</x:f>
        <x:v>36</x:v>
      </x:c>
      <x:c r="J4" s="26" t="n">
        <x:f>I4/24</x:f>
        <x:v>1.5</x:v>
      </x:c>
    </x:row>
    <x:row r="5">
      <x:c r="A5" s="24" t="str">
        <x:v>Expansion 1</x:v>
      </x:c>
      <x:c r="B5" s="26" t="n">
        <x:v>50</x:v>
      </x:c>
      <x:c r="C5" s="26" t="n">
        <x:v>150</x:v>
      </x:c>
      <x:c r="D5" s="26" t="n">
        <x:v>16</x:v>
      </x:c>
      <x:c r="E5" s="26" t="n">
        <x:f>B5*C5*D5/1000</x:f>
        <x:v>120</x:v>
      </x:c>
      <x:c r="F5" s="26" t="n">
        <x:v>0.7</x:v>
      </x:c>
      <x:c r="G5" s="26" t="n">
        <x:f>E5*(1-F5)</x:f>
        <x:v>36.00000000000001</x:v>
      </x:c>
      <x:c r="H5" s="26" t="n">
        <x:v>28</x:v>
      </x:c>
      <x:c r="I5" s="26" t="n">
        <x:f>G5+H5</x:f>
        <x:v>64</x:v>
      </x:c>
      <x:c r="J5" s="26" t="n">
        <x:f>I5/24</x:f>
        <x:v>2.6666666666666665</x:v>
      </x:c>
    </x:row>
    <x:row r="6">
      <x:c r="A6" s="24" t="str">
        <x:v>Expansion 2</x:v>
      </x:c>
      <x:c r="B6" s="26" t="n">
        <x:v>100</x:v>
      </x:c>
      <x:c r="C6" s="26" t="n">
        <x:v>150</x:v>
      </x:c>
      <x:c r="D6" s="26" t="n">
        <x:v>16</x:v>
      </x:c>
      <x:c r="E6" s="26" t="n">
        <x:f>B6*C6*D6/1000</x:f>
        <x:v>240</x:v>
      </x:c>
      <x:c r="F6" s="26" t="n">
        <x:v>0.7</x:v>
      </x:c>
      <x:c r="G6" s="26" t="n">
        <x:f>E6*(1-F6)</x:f>
        <x:v>72.00000000000001</x:v>
      </x:c>
      <x:c r="H6" s="26" t="n">
        <x:v>42</x:v>
      </x:c>
      <x:c r="I6" s="26" t="n">
        <x:f>G6+H6</x:f>
        <x:v>114.00000000000001</x:v>
      </x:c>
      <x:c r="J6" s="26" t="n">
        <x:f>I6/24</x:f>
        <x:v>4.750000000000001</x:v>
      </x:c>
    </x:row>
    <x:row r="7">
      <x:c r="A7" s="24" t="str">
        <x:v>Full-food reference (6 crew)</x:v>
      </x:c>
      <x:c r="B7" s="26" t="n">
        <x:v>650</x:v>
      </x:c>
      <x:c r="C7" s="26" t="n">
        <x:v>150</x:v>
      </x:c>
      <x:c r="D7" s="26" t="n">
        <x:v>16</x:v>
      </x:c>
      <x:c r="E7" s="26" t="n">
        <x:f>B7*C7*D7/1000</x:f>
        <x:v>1560</x:v>
      </x:c>
      <x:c r="F7" s="26" t="n">
        <x:v>0.7</x:v>
      </x:c>
      <x:c r="G7" s="26" t="n">
        <x:f>E7*(1-F7)</x:f>
        <x:v>468.00000000000006</x:v>
      </x:c>
      <x:c r="H7" s="26" t="n">
        <x:v>120</x:v>
      </x:c>
      <x:c r="I7" s="26" t="n">
        <x:f>G7+H7</x:f>
        <x:v>588</x:v>
      </x:c>
      <x:c r="J7" s="26" t="n">
        <x:f>I7/24</x:f>
        <x:v>24.5</x:v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46" t="str">
        <x:v>Design principle</x:v>
      </x:c>
      <x:c r="B10" s="46" t="str"/>
      <x:c r="C10" s="46" t="str"/>
      <x:c r="D10" s="46" t="str"/>
      <x:c r="E10" s="46" t="str"/>
      <x:c r="F10" s="46" t="str"/>
      <x:c r="G10" s="46" t="str"/>
      <x:c r="H10" s="46" t="str"/>
      <x:c r="I10" s="46" t="str"/>
      <x:c r="J10" s="46" t="str"/>
    </x:row>
    <x:row r="11">
      <x:c r="A11" s="24" t="str">
        <x:v>Use modular racks and repeatable 25–50 m² crop-area increments rather than one monolithic greenhouse.</x:v>
      </x:c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 t="str">
        <x:v>Treat natural/optically concentrated sunlight as a power source to the plant system, not merely an architectural amenity.</x:v>
      </x:c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 t="str">
        <x:v>Provide separate life-critical and crop-optimization buses so crop lighting can shed before habitat/ECLSS loads.</x:v>
      </x:c>
      <x:c r="B13" s="24"/>
      <x:c r="C13" s="24"/>
      <x:c r="D13" s="24"/>
      <x:c r="E13" s="24"/>
      <x:c r="F13" s="24"/>
      <x:c r="G13" s="24"/>
      <x:c r="H13" s="24"/>
      <x:c r="I13" s="24"/>
      <x:c r="J13" s="24"/>
    </x:row>
  </x:sheetData>
  <x:mergeCells>
    <x:mergeCell ref="A1:J1"/>
    <x:mergeCell ref="A11:J11"/>
    <x:mergeCell ref="A12:J12"/>
    <x:mergeCell ref="A13:J13"/>
  </x:mergeCells>
  <x:pageMargins left="0.7" right="0.7" top="0.75" bottom="0.75" header="0.3" footer="0.3"/>
  <x:drawing xmlns:r="http://schemas.openxmlformats.org/officeDocument/2006/relationships" r:id="R3f51ce8e1d144896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14" hidden="0" customWidth="1"/>
    <x:col min="5" max="5" width="10" hidden="0" customWidth="1"/>
    <x:col min="6" max="6" width="14" hidden="0" customWidth="1"/>
    <x:col min="7" max="7" width="20" hidden="0" customWidth="1"/>
    <x:col min="8" max="8" width="16" hidden="0" customWidth="1"/>
    <x:col min="9" max="9" width="34" hidden="0" customWidth="1"/>
    <x:col min="10" max="10" width="18" hidden="0" customWidth="1"/>
    <x:col min="11" max="11" width="34" hidden="0" customWidth="1"/>
  </x:cols>
  <x:sheetData>
    <x:row r="1" ht="28" customHeight="1">
      <x:c r="A1" s="5" t="str">
        <x:v>Power Inputs by Architecture Phase</x:v>
      </x:c>
    </x:row>
    <x:row r="3">
      <x:c r="A3" s="14" t="str">
        <x:v>Source</x:v>
      </x:c>
      <x:c r="B3" s="14" t="str">
        <x:v>Earliest Model Year</x:v>
      </x:c>
      <x:c r="C3" s="14" t="str">
        <x:v>Rated kW</x:v>
      </x:c>
      <x:c r="D3" s="14" t="str">
        <x:v>Firm / Variable</x:v>
      </x:c>
      <x:c r="E3" s="14" t="str">
        <x:v>Count</x:v>
      </x:c>
      <x:c r="F3" s="14" t="str">
        <x:v>Installed kW</x:v>
      </x:c>
      <x:c r="G3" s="14" t="str">
        <x:v>Capacity Factor / Availability</x:v>
      </x:c>
      <x:c r="H3" s="14" t="str">
        <x:v>Expected Avg kW</x:v>
      </x:c>
      <x:c r="I3" s="14" t="str">
        <x:v>Role</x:v>
      </x:c>
      <x:c r="J3" s="14" t="str">
        <x:v>Included in Base Case?</x:v>
      </x:c>
      <x:c r="K3" s="14" t="str">
        <x:v>Basis</x:v>
      </x:c>
    </x:row>
    <x:row r="4">
      <x:c r="A4" s="24" t="str">
        <x:v>10 kW VSAT-class vertical solar array</x:v>
      </x:c>
      <x:c r="B4" s="24" t="n">
        <x:v>2028</x:v>
      </x:c>
      <x:c r="C4" s="26" t="n">
        <x:v>10</x:v>
      </x:c>
      <x:c r="D4" s="26" t="str">
        <x:v>Variable</x:v>
      </x:c>
      <x:c r="E4" s="26" t="n">
        <x:v>2</x:v>
      </x:c>
      <x:c r="F4" s="26" t="n">
        <x:f>C4*E4</x:f>
        <x:v>20</x:v>
      </x:c>
      <x:c r="G4" s="26" t="n">
        <x:v>0.7</x:v>
      </x:c>
      <x:c r="H4" s="26" t="n">
        <x:f>F4*G4</x:f>
        <x:v>14</x:v>
      </x:c>
      <x:c r="I4" s="24" t="str">
        <x:v>Early solar / local generation</x:v>
      </x:c>
      <x:c r="J4" s="24" t="str">
        <x:v>Yes</x:v>
      </x:c>
      <x:c r="K4" s="24" t="str">
        <x:v>NASA TechPort 10 kW VSAT study</x:v>
      </x:c>
    </x:row>
    <x:row r="5">
      <x:c r="A5" s="24" t="str">
        <x:v>Battery / regenerative storage</x:v>
      </x:c>
      <x:c r="B5" s="24" t="n">
        <x:v>2028</x:v>
      </x:c>
      <x:c r="C5" s="26" t="n">
        <x:v>0</x:v>
      </x:c>
      <x:c r="D5" s="26" t="str">
        <x:v>Storage</x:v>
      </x:c>
      <x:c r="E5" s="26" t="n">
        <x:v>1</x:v>
      </x:c>
      <x:c r="F5" s="26" t="n">
        <x:f>C5*E5</x:f>
        <x:v>0</x:v>
      </x:c>
      <x:c r="G5" s="26" t="n">
        <x:v>0</x:v>
      </x:c>
      <x:c r="H5" s="26" t="n">
        <x:f>F5*G5</x:f>
        <x:v>0</x:v>
      </x:c>
      <x:c r="I5" s="24" t="str">
        <x:v>Ride-through, peak shaving, eclipse/shadow contingency</x:v>
      </x:c>
      <x:c r="J5" s="24" t="str">
        <x:v>Yes</x:v>
      </x:c>
      <x:c r="K5" s="24" t="str">
        <x:v>Architecture element; capacity on Storage sheet</x:v>
      </x:c>
    </x:row>
    <x:row r="6">
      <x:c r="A6" s="24" t="str">
        <x:v>Lunar Reactor-1 / 40 kW-class FSP</x:v>
      </x:c>
      <x:c r="B6" s="24" t="n">
        <x:v>2030</x:v>
      </x:c>
      <x:c r="C6" s="26" t="n">
        <x:v>40</x:v>
      </x:c>
      <x:c r="D6" s="26" t="str">
        <x:v>Firm</x:v>
      </x:c>
      <x:c r="E6" s="26" t="n">
        <x:v>1</x:v>
      </x:c>
      <x:c r="F6" s="26" t="n">
        <x:f>C6*E6</x:f>
        <x:v>40</x:v>
      </x:c>
      <x:c r="G6" s="26" t="n">
        <x:v>0.95</x:v>
      </x:c>
      <x:c r="H6" s="26" t="n">
        <x:f>F6*G6</x:f>
        <x:v>38</x:v>
      </x:c>
      <x:c r="I6" s="24" t="str">
        <x:v>Baseload / night / shadow survival</x:v>
      </x:c>
      <x:c r="J6" s="24" t="str">
        <x:v>Yes</x:v>
      </x:c>
      <x:c r="K6" s="24" t="str">
        <x:v>NASA/DOE target by 2030; ≥40 kW class</x:v>
      </x:c>
    </x:row>
    <x:row r="7">
      <x:c r="A7" s="24" t="str">
        <x:v>50 kW-class vertical solar array</x:v>
      </x:c>
      <x:c r="B7" s="24" t="n">
        <x:v>2032</x:v>
      </x:c>
      <x:c r="C7" s="26" t="n">
        <x:v>50</x:v>
      </x:c>
      <x:c r="D7" s="26" t="str">
        <x:v>Variable</x:v>
      </x:c>
      <x:c r="E7" s="26" t="n">
        <x:v>1</x:v>
      </x:c>
      <x:c r="F7" s="26" t="n">
        <x:f>C7*E7</x:f>
        <x:v>50</x:v>
      </x:c>
      <x:c r="G7" s="26" t="n">
        <x:v>0.7</x:v>
      </x:c>
      <x:c r="H7" s="26" t="n">
        <x:f>F7*G7</x:f>
        <x:v>35</x:v>
      </x:c>
      <x:c r="I7" s="24" t="str">
        <x:v>Expansion solar generation</x:v>
      </x:c>
      <x:c r="J7" s="24" t="str">
        <x:v>Yes</x:v>
      </x:c>
      <x:c r="K7" s="24" t="str">
        <x:v>NASA TechPort R-ROMA development</x:v>
      </x:c>
    </x:row>
    <x:row r="8">
      <x:c r="A8" s="24" t="str">
        <x:v>Partner/commercial microreactor</x:v>
      </x:c>
      <x:c r="B8" s="24" t="n">
        <x:v>2032</x:v>
      </x:c>
      <x:c r="C8" s="26" t="n">
        <x:v>0</x:v>
      </x:c>
      <x:c r="D8" s="26" t="str">
        <x:v>Firm</x:v>
      </x:c>
      <x:c r="E8" s="26" t="n">
        <x:v>0</x:v>
      </x:c>
      <x:c r="F8" s="26" t="n">
        <x:f>C8*E8</x:f>
        <x:v>0</x:v>
      </x:c>
      <x:c r="G8" s="26" t="n">
        <x:v>0.9</x:v>
      </x:c>
      <x:c r="H8" s="26" t="n">
        <x:f>F8*G8</x:f>
        <x:v>0</x:v>
      </x:c>
      <x:c r="I8" s="24" t="str">
        <x:v>Future redundancy / commercial power</x:v>
      </x:c>
      <x:c r="J8" s="24" t="str">
        <x:v>No</x:v>
      </x:c>
      <x:c r="K8" s="24" t="str">
        <x:v>Placeholder; rating/provider TBD</x:v>
      </x:c>
    </x:row>
    <x:row r="9">
      <x:c r="A9" s="24" t="str">
        <x:v>RPS / radioisotope units</x:v>
      </x:c>
      <x:c r="B9" s="24" t="n">
        <x:v>2028</x:v>
      </x:c>
      <x:c r="C9" s="26" t="n">
        <x:v>0.5</x:v>
      </x:c>
      <x:c r="D9" s="26" t="str">
        <x:v>Firm</x:v>
      </x:c>
      <x:c r="E9" s="26" t="n">
        <x:v>2</x:v>
      </x:c>
      <x:c r="F9" s="26" t="n">
        <x:f>C9*E9</x:f>
        <x:v>1</x:v>
      </x:c>
      <x:c r="G9" s="26" t="n">
        <x:v>0.95</x:v>
      </x:c>
      <x:c r="H9" s="26" t="n">
        <x:f>F9*G9</x:f>
        <x:v>0.95</x:v>
      </x:c>
      <x:c r="I9" s="24" t="str">
        <x:v>Remote sensors, heat, black-start / survival loads</x:v>
      </x:c>
      <x:c r="J9" s="24" t="str">
        <x:v>Optional</x:v>
      </x:c>
      <x:c r="K9" s="24" t="str">
        <x:v>Architecture placeholder; unit rating mission-dependent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3" hidden="0" customWidth="1"/>
    <x:col min="5" max="5" width="11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6" hidden="0" customWidth="1"/>
    <x:col min="13" max="13" width="12" hidden="0" customWidth="1"/>
    <x:col min="14" max="14" width="38" hidden="0" customWidth="1"/>
  </x:cols>
  <x:sheetData>
    <x:row r="1" ht="28" customHeight="1">
      <x:c r="A1" s="5" t="str">
        <x:v>Notional Lunar Surface Power Distribution Panel — Engineering Concept</x:v>
      </x:c>
    </x:row>
    <x:row r="3">
      <x:c r="A3" s="14" t="str">
        <x:v>Panel / Circuit</x:v>
      </x:c>
      <x:c r="B3" s="14" t="str">
        <x:v>Load / Destination</x:v>
      </x:c>
      <x:c r="C3" s="14" t="str">
        <x:v>Priority</x:v>
      </x:c>
      <x:c r="D3" s="14" t="str">
        <x:v>Nom Load kW</x:v>
      </x:c>
      <x:c r="E3" s="14" t="str">
        <x:v>Bus VDC</x:v>
      </x:c>
      <x:c r="F3" s="14" t="str">
        <x:v>Converter Eff.</x:v>
      </x:c>
      <x:c r="G3" s="14" t="str">
        <x:v>Design Current A</x:v>
      </x:c>
      <x:c r="H3" s="14" t="str">
        <x:v>Breaker Design A</x:v>
      </x:c>
      <x:c r="I3" s="14" t="str">
        <x:v>Feeder Length m</x:v>
      </x:c>
      <x:c r="J3" s="14" t="str">
        <x:v>Conductor R Ω/km</x:v>
      </x:c>
      <x:c r="K3" s="14" t="str">
        <x:v>Round-trip Loss W</x:v>
      </x:c>
      <x:c r="L3" s="14" t="str">
        <x:v>Voltage Drop V</x:v>
      </x:c>
      <x:c r="M3" s="14" t="str">
        <x:v>Load Shed?</x:v>
      </x:c>
      <x:c r="N3" s="14" t="str">
        <x:v>Engineering Note</x:v>
      </x:c>
    </x:row>
    <x:row r="4">
      <x:c r="A4" s="24" t="str">
        <x:v>LC-01</x:v>
      </x:c>
      <x:c r="B4" s="24" t="str">
        <x:v>Habitation + ECLSS</x:v>
      </x:c>
      <x:c r="C4" s="24" t="str">
        <x:v>Critical</x:v>
      </x:c>
      <x:c r="D4" s="26" t="n">
        <x:v>4.6</x:v>
      </x:c>
      <x:c r="E4" s="26" t="n">
        <x:v>120</x:v>
      </x:c>
      <x:c r="F4" s="26" t="n">
        <x:v>0.95</x:v>
      </x:c>
      <x:c r="G4" s="26" t="n">
        <x:f>D4*1000/(E4*F4)</x:f>
        <x:v>40.35087719298246</x:v>
      </x:c>
      <x:c r="H4" s="26" t="n">
        <x:f>ROUNDUP(G4*Assumptions!B13/5,0)*5</x:f>
        <x:v>55</x:v>
      </x:c>
      <x:c r="I4" s="26" t="n">
        <x:v>40</x:v>
      </x:c>
      <x:c r="J4" s="26" t="n">
        <x:v>0.45</x:v>
      </x:c>
      <x:c r="K4" s="26" t="n">
        <x:f>G4^2*(J4/1000)*(I4*2)</x:f>
        <x:v>58.61495844875347</x:v>
      </x:c>
      <x:c r="L4" s="26" t="n">
        <x:f>G4*(J4/1000)*(I4*2)</x:f>
        <x:v>1.4526315789473685</x:v>
      </x:c>
      <x:c r="M4" s="24" t="str">
        <x:v>No</x:v>
      </x:c>
      <x:c r="N4" s="24" t="str">
        <x:v>Dual-fed local load center recommended</x:v>
      </x:c>
    </x:row>
    <x:row r="5">
      <x:c r="A5" s="24" t="str">
        <x:v>LC-02</x:v>
      </x:c>
      <x:c r="B5" s="24" t="str">
        <x:v>Thermal Control</x:v>
      </x:c>
      <x:c r="C5" s="24" t="str">
        <x:v>Critical</x:v>
      </x:c>
      <x:c r="D5" s="26" t="n">
        <x:v>1.8</x:v>
      </x:c>
      <x:c r="E5" s="26" t="n">
        <x:v>120</x:v>
      </x:c>
      <x:c r="F5" s="26" t="n">
        <x:v>0.95</x:v>
      </x:c>
      <x:c r="G5" s="26" t="n">
        <x:f>D5*1000/(E5*F5)</x:f>
        <x:v>15.789473684210526</x:v>
      </x:c>
      <x:c r="H5" s="26" t="n">
        <x:f>ROUNDUP(G5*Assumptions!B13/5,0)*5</x:f>
        <x:v>20</x:v>
      </x:c>
      <x:c r="I5" s="26" t="n">
        <x:v>40</x:v>
      </x:c>
      <x:c r="J5" s="26" t="n">
        <x:v>0.45</x:v>
      </x:c>
      <x:c r="K5" s="26" t="n">
        <x:f>G5^2*(J5/1000)*(I5*2)</x:f>
        <x:v>8.975069252077562</x:v>
      </x:c>
      <x:c r="L5" s="26" t="n">
        <x:f>G5*(J5/1000)*(I5*2)</x:f>
        <x:v>0.5684210526315789</x:v>
      </x:c>
      <x:c r="M5" s="24" t="str">
        <x:v>No</x:v>
      </x:c>
      <x:c r="N5" s="24" t="str">
        <x:v>Separate pump strings / fault isolation</x:v>
      </x:c>
    </x:row>
    <x:row r="6">
      <x:c r="A6" s="24" t="str">
        <x:v>LC-03</x:v>
      </x:c>
      <x:c r="B6" s="24" t="str">
        <x:v>Command / PNT</x:v>
      </x:c>
      <x:c r="C6" s="24" t="str">
        <x:v>Critical</x:v>
      </x:c>
      <x:c r="D6" s="26" t="n">
        <x:v>0.7</x:v>
      </x:c>
      <x:c r="E6" s="26" t="n">
        <x:v>120</x:v>
      </x:c>
      <x:c r="F6" s="26" t="n">
        <x:v>0.95</x:v>
      </x:c>
      <x:c r="G6" s="26" t="n">
        <x:f>D6*1000/(E6*F6)</x:f>
        <x:v>6.140350877192983</x:v>
      </x:c>
      <x:c r="H6" s="26" t="n">
        <x:f>ROUNDUP(G6*Assumptions!B13/5,0)*5</x:f>
        <x:v>10</x:v>
      </x:c>
      <x:c r="I6" s="26" t="n">
        <x:v>35</x:v>
      </x:c>
      <x:c r="J6" s="26" t="n">
        <x:v>0.45</x:v>
      </x:c>
      <x:c r="K6" s="26" t="n">
        <x:f>G6^2*(J6/1000)*(I6*2)</x:f>
        <x:v>1.1876731301939059</x:v>
      </x:c>
      <x:c r="L6" s="26" t="n">
        <x:f>G6*(J6/1000)*(I6*2)</x:f>
        <x:v>0.19342105263157897</x:v>
      </x:c>
      <x:c r="M6" s="24" t="str">
        <x:v>No</x:v>
      </x:c>
      <x:c r="N6" s="24" t="str">
        <x:v>28 VDC conversion near load</x:v>
      </x:c>
    </x:row>
    <x:row r="7">
      <x:c r="A7" s="24" t="str">
        <x:v>LC-04</x:v>
      </x:c>
      <x:c r="B7" s="24" t="str">
        <x:v>Communications</x:v>
      </x:c>
      <x:c r="C7" s="24" t="str">
        <x:v>Critical</x:v>
      </x:c>
      <x:c r="D7" s="26" t="n">
        <x:v>0.8</x:v>
      </x:c>
      <x:c r="E7" s="26" t="n">
        <x:v>120</x:v>
      </x:c>
      <x:c r="F7" s="26" t="n">
        <x:v>0.95</x:v>
      </x:c>
      <x:c r="G7" s="26" t="n">
        <x:f>D7*1000/(E7*F7)</x:f>
        <x:v>7.017543859649122</x:v>
      </x:c>
      <x:c r="H7" s="26" t="n">
        <x:f>ROUNDUP(G7*Assumptions!B13/5,0)*5</x:f>
        <x:v>10</x:v>
      </x:c>
      <x:c r="I7" s="26" t="n">
        <x:v>60</x:v>
      </x:c>
      <x:c r="J7" s="26" t="n">
        <x:v>0.45</x:v>
      </x:c>
      <x:c r="K7" s="26" t="n">
        <x:f>G7^2*(J7/1000)*(I7*2)</x:f>
        <x:v>2.6592797783933513</x:v>
      </x:c>
      <x:c r="L7" s="26" t="n">
        <x:f>G7*(J7/1000)*(I7*2)</x:f>
        <x:v>0.37894736842105264</x:v>
      </x:c>
      <x:c r="M7" s="24" t="str">
        <x:v>No</x:v>
      </x:c>
      <x:c r="N7" s="24" t="str">
        <x:v>Maintain emergency low-rate path</x:v>
      </x:c>
    </x:row>
    <x:row r="8">
      <x:c r="A8" s="24" t="str">
        <x:v>LC-05</x:v>
      </x:c>
      <x:c r="B8" s="24" t="str">
        <x:v>Galley / Hygiene</x:v>
      </x:c>
      <x:c r="C8" s="24" t="str">
        <x:v>Essential</x:v>
      </x:c>
      <x:c r="D8" s="26" t="n">
        <x:v>0.65</x:v>
      </x:c>
      <x:c r="E8" s="26" t="n">
        <x:v>120</x:v>
      </x:c>
      <x:c r="F8" s="26" t="n">
        <x:v>0.95</x:v>
      </x:c>
      <x:c r="G8" s="26" t="n">
        <x:f>D8*1000/(E8*F8)</x:f>
        <x:v>5.701754385964913</x:v>
      </x:c>
      <x:c r="H8" s="26" t="n">
        <x:f>ROUNDUP(G8*Assumptions!B13/5,0)*5</x:f>
        <x:v>10</x:v>
      </x:c>
      <x:c r="I8" s="26" t="n">
        <x:v>30</x:v>
      </x:c>
      <x:c r="J8" s="26" t="n">
        <x:v>0.45</x:v>
      </x:c>
      <x:c r="K8" s="26" t="n">
        <x:f>G8^2*(J8/1000)*(I8*2)</x:f>
        <x:v>0.8777700831024932</x:v>
      </x:c>
      <x:c r="L8" s="26" t="n">
        <x:f>G8*(J8/1000)*(I8*2)</x:f>
        <x:v>0.15394736842105264</x:v>
      </x:c>
      <x:c r="M8" s="24" t="str">
        <x:v>Yes</x:v>
      </x:c>
      <x:c r="N8" s="24" t="str">
        <x:v>Time-shift high peak appliances</x:v>
      </x:c>
    </x:row>
    <x:row r="9">
      <x:c r="A9" s="24" t="str">
        <x:v>LC-06</x:v>
      </x:c>
      <x:c r="B9" s="24" t="str">
        <x:v>Science Lab</x:v>
      </x:c>
      <x:c r="C9" s="24" t="str">
        <x:v>Discretionary</x:v>
      </x:c>
      <x:c r="D9" s="26" t="n">
        <x:v>0.8</x:v>
      </x:c>
      <x:c r="E9" s="26" t="n">
        <x:v>120</x:v>
      </x:c>
      <x:c r="F9" s="26" t="n">
        <x:v>0.95</x:v>
      </x:c>
      <x:c r="G9" s="26" t="n">
        <x:f>D9*1000/(E9*F9)</x:f>
        <x:v>7.017543859649122</x:v>
      </x:c>
      <x:c r="H9" s="26" t="n">
        <x:f>ROUNDUP(G9*Assumptions!B13/5,0)*5</x:f>
        <x:v>10</x:v>
      </x:c>
      <x:c r="I9" s="26" t="n">
        <x:v>50</x:v>
      </x:c>
      <x:c r="J9" s="26" t="n">
        <x:v>0.45</x:v>
      </x:c>
      <x:c r="K9" s="26" t="n">
        <x:f>G9^2*(J9/1000)*(I9*2)</x:f>
        <x:v>2.2160664819944595</x:v>
      </x:c>
      <x:c r="L9" s="26" t="n">
        <x:f>G9*(J9/1000)*(I9*2)</x:f>
        <x:v>0.3157894736842105</x:v>
      </x:c>
      <x:c r="M9" s="24" t="str">
        <x:v>Yes</x:v>
      </x:c>
      <x:c r="N9" s="24" t="str">
        <x:v>Shed first during constrained generation</x:v>
      </x:c>
    </x:row>
    <x:row r="10">
      <x:c r="A10" s="24" t="str">
        <x:v>LC-07</x:v>
      </x:c>
      <x:c r="B10" s="24" t="str">
        <x:v>Plant Module</x:v>
      </x:c>
      <x:c r="C10" s="24" t="str">
        <x:v>Essential</x:v>
      </x:c>
      <x:c r="D10" s="26" t="n">
        <x:v>1.05</x:v>
      </x:c>
      <x:c r="E10" s="26" t="n">
        <x:v>120</x:v>
      </x:c>
      <x:c r="F10" s="26" t="n">
        <x:v>0.95</x:v>
      </x:c>
      <x:c r="G10" s="26" t="n">
        <x:f>D10*1000/(E10*F10)</x:f>
        <x:v>9.210526315789474</x:v>
      </x:c>
      <x:c r="H10" s="26" t="n">
        <x:f>ROUNDUP(G10*Assumptions!B13/5,0)*5</x:f>
        <x:v>15</x:v>
      </x:c>
      <x:c r="I10" s="26" t="n">
        <x:v>70</x:v>
      </x:c>
      <x:c r="J10" s="26" t="n">
        <x:v>0.45</x:v>
      </x:c>
      <x:c r="K10" s="26" t="n">
        <x:f>G10^2*(J10/1000)*(I10*2)</x:f>
        <x:v>5.344529085872578</x:v>
      </x:c>
      <x:c r="L10" s="26" t="n">
        <x:f>G10*(J10/1000)*(I10*2)</x:f>
        <x:v>0.5802631578947369</x:v>
      </x:c>
      <x:c r="M10" s="24" t="str">
        <x:v>Partial</x:v>
      </x:c>
      <x:c r="N10" s="24" t="str">
        <x:v>Separate pump/control bus from lighting</x:v>
      </x:c>
    </x:row>
    <x:row r="11">
      <x:c r="A11" s="24" t="str">
        <x:v>HV-01</x:v>
      </x:c>
      <x:c r="B11" s="24" t="str">
        <x:v>Rover / EVA charging node</x:v>
      </x:c>
      <x:c r="C11" s="24" t="str">
        <x:v>Essential</x:v>
      </x:c>
      <x:c r="D11" s="26" t="n">
        <x:v>1</x:v>
      </x:c>
      <x:c r="E11" s="26" t="n">
        <x:v>800</x:v>
      </x:c>
      <x:c r="F11" s="26" t="n">
        <x:v>0.95</x:v>
      </x:c>
      <x:c r="G11" s="26" t="n">
        <x:f>D11*1000/(E11*F11)</x:f>
        <x:v>1.3157894736842106</x:v>
      </x:c>
      <x:c r="H11" s="26" t="n">
        <x:f>ROUNDUP(G11*Assumptions!B13/5,0)*5</x:f>
        <x:v>5</x:v>
      </x:c>
      <x:c r="I11" s="26" t="n">
        <x:v>300</x:v>
      </x:c>
      <x:c r="J11" s="26" t="n">
        <x:v>0.12</x:v>
      </x:c>
      <x:c r="K11" s="26" t="n">
        <x:f>G11^2*(J11/1000)*(I11*2)</x:f>
        <x:v>0.12465373961218837</x:v>
      </x:c>
      <x:c r="L11" s="26" t="n">
        <x:f>G11*(J11/1000)*(I11*2)</x:f>
        <x:v>0.09473684210526316</x:v>
      </x:c>
      <x:c r="M11" s="24" t="str">
        <x:v>Yes</x:v>
      </x:c>
      <x:c r="N11" s="24" t="str">
        <x:v>HV trunk reduces current; local step-down</x:v>
      </x:c>
    </x:row>
    <x:row r="12">
      <x:c r="A12" s="24" t="str">
        <x:v>HV-02</x:v>
      </x:c>
      <x:c r="B12" s="24" t="str">
        <x:v>ISRU / construction pilot</x:v>
      </x:c>
      <x:c r="C12" s="24" t="str">
        <x:v>Discretionary</x:v>
      </x:c>
      <x:c r="D12" s="26" t="n">
        <x:v>0.45</x:v>
      </x:c>
      <x:c r="E12" s="26" t="n">
        <x:v>800</x:v>
      </x:c>
      <x:c r="F12" s="26" t="n">
        <x:v>0.95</x:v>
      </x:c>
      <x:c r="G12" s="26" t="n">
        <x:f>D12*1000/(E12*F12)</x:f>
        <x:v>0.5921052631578947</x:v>
      </x:c>
      <x:c r="H12" s="26" t="n">
        <x:f>ROUNDUP(G12*Assumptions!B13/5,0)*5</x:f>
        <x:v>5</x:v>
      </x:c>
      <x:c r="I12" s="26" t="n">
        <x:v>500</x:v>
      </x:c>
      <x:c r="J12" s="26" t="n">
        <x:v>0.12</x:v>
      </x:c>
      <x:c r="K12" s="26" t="n">
        <x:f>G12^2*(J12/1000)*(I12*2)</x:f>
        <x:v>0.04207063711911357</x:v>
      </x:c>
      <x:c r="L12" s="26" t="n">
        <x:f>G12*(J12/1000)*(I12*2)</x:f>
        <x:v>0.07105263157894735</x:v>
      </x:c>
      <x:c r="M12" s="24" t="str">
        <x:v>Yes</x:v>
      </x:c>
      <x:c r="N12" s="24" t="str">
        <x:v>Schedule around crew/load peaks</x:v>
      </x:c>
    </x:row>
    <x:row r="13">
      <x:c r="A13" s="24" t="str">
        <x:v>HV-03</x:v>
      </x:c>
      <x:c r="B13" s="24" t="str">
        <x:v>Remote solar / source intertie</x:v>
      </x:c>
      <x:c r="C13" s="24" t="str">
        <x:v>Critical</x:v>
      </x:c>
      <x:c r="D13" s="26" t="n">
        <x:v>10</x:v>
      </x:c>
      <x:c r="E13" s="26" t="n">
        <x:v>800</x:v>
      </x:c>
      <x:c r="F13" s="26" t="n">
        <x:v>0.95</x:v>
      </x:c>
      <x:c r="G13" s="26" t="n">
        <x:f>D13*1000/(E13*F13)</x:f>
        <x:v>13.157894736842104</x:v>
      </x:c>
      <x:c r="H13" s="26" t="n">
        <x:f>ROUNDUP(G13*Assumptions!B13/5,0)*5</x:f>
        <x:v>20</x:v>
      </x:c>
      <x:c r="I13" s="26" t="n">
        <x:v>500</x:v>
      </x:c>
      <x:c r="J13" s="26" t="n">
        <x:v>0.12</x:v>
      </x:c>
      <x:c r="K13" s="26" t="n">
        <x:f>G13^2*(J13/1000)*(I13*2)</x:f>
        <x:v>20.775623268698055</x:v>
      </x:c>
      <x:c r="L13" s="26" t="n">
        <x:f>G13*(J13/1000)*(I13*2)</x:f>
        <x:v>1.5789473684210524</x:v>
      </x:c>
      <x:c r="M13" s="24" t="str">
        <x:v>No</x:v>
      </x:c>
      <x:c r="N13" s="24" t="str">
        <x:v>Illustrative high-voltage source intertie</x:v>
      </x:c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46" t="str">
        <x:v>Architecture rules</x:v>
      </x:c>
      <x:c r="B16" s="46" t="str"/>
      <x:c r="C16" s="46" t="str"/>
      <x:c r="D16" s="46" t="str"/>
      <x:c r="E16" s="46" t="str"/>
      <x:c r="F16" s="46" t="str"/>
      <x:c r="G16" s="46" t="str"/>
      <x:c r="H16" s="46" t="str"/>
      <x:c r="I16" s="46" t="str"/>
      <x:c r="J16" s="46" t="str"/>
      <x:c r="K16" s="46" t="str"/>
      <x:c r="L16" s="46" t="str"/>
      <x:c r="M16" s="46" t="str"/>
      <x:c r="N16" s="46" t="str"/>
    </x:row>
    <x:row r="17">
      <x:c r="A17" s="24" t="str">
        <x:v>1</x:v>
      </x:c>
      <x:c r="B17" s="24" t="str">
        <x:v>Use 120 VDC for nearby interoperable element-to-element exchange; NASA public architecture cites &lt;100 m as a practical limitation.</x:v>
      </x:c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 t="str">
        <x:v>2</x:v>
      </x:c>
      <x:c r="B18" s="24" t="str">
        <x:v>For hundreds of meters to kilometers, boost voltage on trunk feeders, then convert back to 120/28 VDC near the load. Exact HVDC level remains a trade.</x:v>
      </x:c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 t="str">
        <x:v>3</x:v>
      </x:c>
      <x:c r="B19" s="24" t="str">
        <x:v>Every source and load center should report voltage, current, temperature, fault status, and trip state; use sectionalizing so one fault does not collapse the base.</x:v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</x:sheetData>
  <x:mergeCells>
    <x:mergeCell ref="A1:N1"/>
    <x:mergeCell ref="B17:N17"/>
    <x:mergeCell ref="B18:N18"/>
    <x:mergeCell ref="B19:N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0" hidden="0" customWidth="1"/>
    <x:col min="5" max="5" width="16" hidden="0" customWidth="1"/>
    <x:col min="6" max="6" width="20" hidden="0" customWidth="1"/>
    <x:col min="7" max="7" width="28" hidden="0" customWidth="1"/>
    <x:col min="8" max="8" width="42" hidden="0" customWidth="1"/>
  </x:cols>
  <x:sheetData>
    <x:row r="1" ht="28" customHeight="1">
      <x:c r="A1" s="5" t="str">
        <x:v>Energy Storage Sizing</x:v>
      </x:c>
    </x:row>
    <x:row r="3">
      <x:c r="A3" s="14" t="str">
        <x:v>Scenario</x:v>
      </x:c>
      <x:c r="B3" s="14" t="str">
        <x:v>Critical Load kW</x:v>
      </x:c>
      <x:c r="C3" s="14" t="str">
        <x:v>Autonomy h</x:v>
      </x:c>
      <x:c r="D3" s="14" t="str">
        <x:v>Required Usable kWh</x:v>
      </x:c>
      <x:c r="E3" s="14" t="str">
        <x:v>Usable Fraction</x:v>
      </x:c>
      <x:c r="F3" s="14" t="str">
        <x:v>Installed Battery kWh</x:v>
      </x:c>
      <x:c r="G3" s="14" t="str">
        <x:v>Purpose</x:v>
      </x:c>
      <x:c r="H3" s="14" t="str">
        <x:v>Notes</x:v>
      </x:c>
    </x:row>
    <x:row r="4">
      <x:c r="A4" s="24" t="str">
        <x:v>6 crew nominal</x:v>
      </x:c>
      <x:c r="B4" s="26" t="n">
        <x:v>7.9</x:v>
      </x:c>
      <x:c r="C4" s="26" t="n">
        <x:v>12</x:v>
      </x:c>
      <x:c r="D4" s="26" t="n">
        <x:f>B4*C4</x:f>
        <x:v>94.80000000000001</x:v>
      </x:c>
      <x:c r="E4" s="26" t="n">
        <x:v>0.8</x:v>
      </x:c>
      <x:c r="F4" s="26" t="n">
        <x:f>D4/E4</x:f>
        <x:v>118.50000000000001</x:v>
      </x:c>
      <x:c r="G4" s="24" t="str">
        <x:v>Critical-load ride-through</x:v>
      </x:c>
      <x:c r="H4" s="24" t="str">
        <x:v>Fission expected to reduce long-duration storage requirement</x:v>
      </x:c>
    </x:row>
    <x:row r="5">
      <x:c r="A5" s="24" t="str">
        <x:v>12 crew handover</x:v>
      </x:c>
      <x:c r="B5" s="26" t="n">
        <x:v>10.6</x:v>
      </x:c>
      <x:c r="C5" s="26" t="n">
        <x:v>12</x:v>
      </x:c>
      <x:c r="D5" s="26" t="n">
        <x:f>B5*C5</x:f>
        <x:v>127.19999999999999</x:v>
      </x:c>
      <x:c r="E5" s="26" t="n">
        <x:v>0.8</x:v>
      </x:c>
      <x:c r="F5" s="26" t="n">
        <x:f>D5/E5</x:f>
        <x:v>158.99999999999997</x:v>
      </x:c>
      <x:c r="G5" s="24" t="str">
        <x:v>Critical-load ride-through</x:v>
      </x:c>
      <x:c r="H5" s="24" t="str">
        <x:v>Higher ECLSS and comms occupancy case</x:v>
      </x:c>
    </x:row>
    <x:row r="6">
      <x:c r="A6" s="24" t="str">
        <x:v>Black-start / essential core</x:v>
      </x:c>
      <x:c r="B6" s="26" t="n">
        <x:v>4</x:v>
      </x:c>
      <x:c r="C6" s="26" t="n">
        <x:v>24</x:v>
      </x:c>
      <x:c r="D6" s="26" t="n">
        <x:f>B6*C6</x:f>
        <x:v>96</x:v>
      </x:c>
      <x:c r="E6" s="26" t="n">
        <x:v>0.8</x:v>
      </x:c>
      <x:c r="F6" s="26" t="n">
        <x:f>D6/E6</x:f>
        <x:v>120</x:v>
      </x:c>
      <x:c r="G6" s="24" t="str">
        <x:v>Recovery after bus/source fault</x:v>
      </x:c>
      <x:c r="H6" s="24" t="str">
        <x:v>Assumes aggressive load shedding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34" hidden="0" customWidth="1"/>
    <x:col min="5" max="5" width="3" hidden="0" customWidth="1"/>
    <x:col min="6" max="6" width="22" hidden="0" customWidth="1"/>
    <x:col min="7" max="7" width="17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34" hidden="0" customWidth="1"/>
  </x:cols>
  <x:sheetData>
    <x:row r="1" ht="28" customHeight="1">
      <x:c r="A1" s="5" t="str">
        <x:v>Lunar South Pole Base — Power / Facilities Dashboard</x:v>
      </x:c>
    </x:row>
    <x:row r="3">
      <x:c r="A3" s="14" t="str">
        <x:v>OPERATING MODE</x:v>
      </x:c>
      <x:c r="B3" s="14" t="str">
        <x:v>6 CREW</x:v>
      </x:c>
      <x:c r="C3" s="14" t="str">
        <x:v>12 CREW HANDOVER</x:v>
      </x:c>
      <x:c r="D3" s="14" t="str">
        <x:v>ENGINEERING NOTE</x:v>
      </x:c>
      <x:c r="F3" s="14" t="str">
        <x:v>POWER ARCHITECTURE</x:v>
      </x:c>
      <x:c r="G3" s="14"/>
      <x:c r="H3" s="14"/>
      <x:c r="I3" s="14"/>
      <x:c r="J3" s="14"/>
      <x:c r="K3" s="14"/>
      <x:c r="L3" s="14"/>
    </x:row>
    <x:row r="4">
      <x:c r="A4" s="24" t="str">
        <x:v>Average station load (kW)</x:v>
      </x:c>
      <x:c r="B4" s="26" t="n">
        <x:f>'Facilities &amp; Loads'!C18</x:f>
        <x:v>12.500000000000002</x:v>
      </x:c>
      <x:c r="C4" s="26" t="n">
        <x:f>'Facilities &amp; Loads'!D18</x:f>
        <x:v>17.500000000000004</x:v>
      </x:c>
      <x:c r="D4" s="24" t="str">
        <x:v>Facility model total</x:v>
      </x:c>
      <x:c r="F4" s="14" t="str">
        <x:v>Source / Element</x:v>
      </x:c>
      <x:c r="G4" s="14" t="str">
        <x:v>2028</x:v>
      </x:c>
      <x:c r="H4" s="14" t="str">
        <x:v>2030</x:v>
      </x:c>
      <x:c r="I4" s="14" t="str">
        <x:v>2032+</x:v>
      </x:c>
      <x:c r="J4" s="14" t="str">
        <x:v>Role</x:v>
      </x:c>
      <x:c r="K4" s="14" t="str">
        <x:v>Status</x:v>
      </x:c>
      <x:c r="L4" s="14" t="str">
        <x:v>Comment</x:v>
      </x:c>
    </x:row>
    <x:row r="5">
      <x:c r="A5" s="24" t="str">
        <x:v>Daily energy (kWh/day)</x:v>
      </x:c>
      <x:c r="B5" s="26" t="n">
        <x:f>B4*24</x:f>
        <x:v>300.00000000000006</x:v>
      </x:c>
      <x:c r="C5" s="26" t="n">
        <x:f>C4*24</x:f>
        <x:v>420.0000000000001</x:v>
      </x:c>
      <x:c r="D5" s="24" t="str">
        <x:v>Average × 24 h</x:v>
      </x:c>
      <x:c r="F5" s="24" t="str">
        <x:v>10 kW VSAT arrays</x:v>
      </x:c>
      <x:c r="G5" s="24" t="str">
        <x:v>20 kW installed</x:v>
      </x:c>
      <x:c r="H5" s="24" t="str">
        <x:v>20 kW installed</x:v>
      </x:c>
      <x:c r="I5" s="24" t="str">
        <x:v>20–50+ kW</x:v>
      </x:c>
      <x:c r="J5" s="24" t="str">
        <x:v>Variable solar</x:v>
      </x:c>
      <x:c r="K5" s="24" t="str">
        <x:v>NASA path</x:v>
      </x:c>
      <x:c r="L5" s="24" t="str">
        <x:v>Near-continuous at favorable south-pole sites; not guaranteed continuous</x:v>
      </x:c>
    </x:row>
    <x:row r="6">
      <x:c r="A6" s="24" t="str">
        <x:v>Estimated peak (kW)</x:v>
      </x:c>
      <x:c r="B6" s="26" t="n">
        <x:f>B4*Assumptions!B8</x:f>
        <x:v>20.625000000000004</x:v>
      </x:c>
      <x:c r="C6" s="26" t="n">
        <x:f>C4*Assumptions!B9</x:f>
        <x:v>30.625000000000007</x:v>
      </x:c>
      <x:c r="D6" s="24" t="str">
        <x:v>Average × scenario peak factor</x:v>
      </x:c>
      <x:c r="F6" s="24" t="str">
        <x:v>Fission surface power</x:v>
      </x:c>
      <x:c r="G6" s="24" t="str">
        <x:v>—</x:v>
      </x:c>
      <x:c r="H6" s="24" t="str">
        <x:v>40 kW-class</x:v>
      </x:c>
      <x:c r="I6" s="24" t="str">
        <x:v>40 kW+</x:v>
      </x:c>
      <x:c r="J6" s="24" t="str">
        <x:v>Firm baseload</x:v>
      </x:c>
      <x:c r="K6" s="24" t="str">
        <x:v>NASA target</x:v>
      </x:c>
      <x:c r="L6" s="24" t="str">
        <x:v>Lunar Reactor-1 target 2030</x:v>
      </x:c>
    </x:row>
    <x:row r="7">
      <x:c r="A7" s="24" t="str">
        <x:v>Critical-load battery target (kWh)</x:v>
      </x:c>
      <x:c r="B7" s="26" t="n">
        <x:f>Storage!F4</x:f>
        <x:v>118.50000000000001</x:v>
      </x:c>
      <x:c r="C7" s="26" t="n">
        <x:f>Storage!F5</x:f>
        <x:v>158.99999999999997</x:v>
      </x:c>
      <x:c r="D7" s="24" t="str">
        <x:v>12 h autonomy / 80% usable fraction</x:v>
      </x:c>
      <x:c r="F7" s="24" t="str">
        <x:v>50 kW-class solar</x:v>
      </x:c>
      <x:c r="G7" s="24" t="str">
        <x:v>—</x:v>
      </x:c>
      <x:c r="H7" s="24" t="str">
        <x:v>—</x:v>
      </x:c>
      <x:c r="I7" s="24" t="str">
        <x:v>50 kW-class</x:v>
      </x:c>
      <x:c r="J7" s="24" t="str">
        <x:v>Expansion solar</x:v>
      </x:c>
      <x:c r="K7" s="24" t="str">
        <x:v>Technology path</x:v>
      </x:c>
      <x:c r="L7" s="24" t="str">
        <x:v>Useful for daytime/process/plant loads</x:v>
      </x:c>
    </x:row>
    <x:row r="8">
      <x:c r="A8" s="24" t="str">
        <x:v>Installed firm fission (2030+) kW</x:v>
      </x:c>
      <x:c r="B8" s="26" t="n">
        <x:v>40</x:v>
      </x:c>
      <x:c r="C8" s="26" t="n">
        <x:v>40</x:v>
      </x:c>
      <x:c r="D8" s="24" t="str">
        <x:v>NASA/DOE 40 kW-class basis</x:v>
      </x:c>
      <x:c r="F8" s="24" t="str">
        <x:v>Battery/storage</x:v>
      </x:c>
      <x:c r="G8" s="24" t="str">
        <x:v>Required</x:v>
      </x:c>
      <x:c r="H8" s="24" t="str">
        <x:v>Required</x:v>
      </x:c>
      <x:c r="I8" s="24" t="str">
        <x:v>Required</x:v>
      </x:c>
      <x:c r="J8" s="24" t="str">
        <x:v>Ride-through / peak</x:v>
      </x:c>
      <x:c r="K8" s="24" t="str">
        <x:v>Architecture</x:v>
      </x:c>
      <x:c r="L8" s="24" t="str">
        <x:v>Size driven by critical autonomy, source mix, shadow periods</x:v>
      </x:c>
    </x:row>
    <x:row r="9">
      <x:c r="A9" s="24" t="str">
        <x:v>Local exchange voltage</x:v>
      </x:c>
      <x:c r="B9" s="26" t="n">
        <x:v>120</x:v>
      </x:c>
      <x:c r="C9" s="26" t="n">
        <x:v>120</x:v>
      </x:c>
      <x:c r="D9" s="24" t="str">
        <x:v>NASA surface power exchange / ISPSIS</x:v>
      </x:c>
      <x:c r="F9" s="24" t="str">
        <x:v>Long feeders</x:v>
      </x:c>
      <x:c r="G9" s="24" t="str">
        <x:v>Demo / early</x:v>
      </x:c>
      <x:c r="H9" s="24" t="str">
        <x:v>Cluster build</x:v>
      </x:c>
      <x:c r="I9" s="24" t="str">
        <x:v>Grid-like</x:v>
      </x:c>
      <x:c r="J9" s="24" t="str">
        <x:v>Power transport</x:v>
      </x:c>
      <x:c r="K9" s="24" t="str">
        <x:v>Architecture</x:v>
      </x:c>
      <x:c r="L9" s="24" t="str">
        <x:v>Use HV trunk trade + local 120 VDC conversion</x:v>
      </x:c>
    </x:row>
    <x:row r="10">
      <x:c r="F10" s="24" t="str">
        <x:v>Plant module</x:v>
      </x:c>
      <x:c r="G10" s="24" t="str">
        <x:v>Tech demo</x:v>
      </x:c>
      <x:c r="H10" s="24" t="str">
        <x:v>25 m² initial</x:v>
      </x:c>
      <x:c r="I10" s="24" t="str">
        <x:v>50–100+ m²</x:v>
      </x:c>
      <x:c r="J10" s="24" t="str">
        <x:v>Food/science/ECLSS</x:v>
      </x:c>
      <x:c r="K10" s="24" t="str">
        <x:v>Our concept</x:v>
      </x:c>
      <x:c r="L10" s="24" t="str">
        <x:v>Scale by repeatable modules</x:v>
      </x:c>
    </x:row>
    <x:row r="12">
      <x:c r="A12" s="14" t="str">
        <x:v>WHAT THE DASHBOARD MUST TRACK</x:v>
      </x:c>
      <x:c r="B12" s="14"/>
      <x:c r="C12" s="14"/>
      <x:c r="D12" s="14"/>
      <x:c r="E12" s="14"/>
      <x:c r="F12" s="63" t="str">
        <x:v>LOGISTICS / BUILDOUT LIMITS</x:v>
      </x:c>
      <x:c r="G12" s="63"/>
      <x:c r="H12" s="63"/>
      <x:c r="I12" s="63"/>
      <x:c r="J12" s="63"/>
      <x:c r="K12" s="63"/>
      <x:c r="L12" s="63"/>
    </x:row>
    <x:row r="13">
      <x:c r="A13" s="24" t="str">
        <x:v>1</x:v>
      </x:c>
      <x:c r="B13" s="24" t="str">
        <x:v>Crew state</x:v>
      </x:c>
      <x:c r="C13" s="24" t="str">
        <x:v>6 / 12 / unoccupied</x:v>
      </x:c>
      <x:c r="D13" s="24" t="str">
        <x:v>2</x:v>
      </x:c>
      <x:c r="E13" s="24" t="str">
        <x:v>Generation available</x:v>
      </x:c>
      <x:c r="F13" s="63" t="str">
        <x:v>Metric</x:v>
      </x:c>
      <x:c r="G13" s="63" t="str">
        <x:v>Low / Initial</x:v>
      </x:c>
      <x:c r="H13" s="63" t="str">
        <x:v>Nominal</x:v>
      </x:c>
      <x:c r="I13" s="63" t="str">
        <x:v>High / Mature</x:v>
      </x:c>
      <x:c r="J13" s="63" t="str">
        <x:v>Meaning</x:v>
      </x:c>
      <x:c r="K13" s="63" t="str">
        <x:v>Status</x:v>
      </x:c>
      <x:c r="L13" s="63" t="str">
        <x:v>Source</x:v>
      </x:c>
    </x:row>
    <x:row r="14">
      <x:c r="A14" s="24" t="str">
        <x:v>5</x:v>
      </x:c>
      <x:c r="B14" s="24" t="str">
        <x:v>Solar geometry</x:v>
      </x:c>
      <x:c r="C14" s="24" t="str">
        <x:v>illumination / shadow</x:v>
      </x:c>
      <x:c r="D14" s="24" t="str">
        <x:v>6</x:v>
      </x:c>
      <x:c r="E14" s="24" t="str">
        <x:v>Battery SOC</x:v>
      </x:c>
      <x:c r="F14" s="24" t="str">
        <x:v>Large cargo lander payload</x:v>
      </x:c>
      <x:c r="G14" s="24" t="str">
        <x:v>12,000 kg</x:v>
      </x:c>
      <x:c r="H14" s="24" t="str">
        <x:v>13,500 kg</x:v>
      </x:c>
      <x:c r="I14" s="24" t="str">
        <x:v>15,000 kg</x:v>
      </x:c>
      <x:c r="J14" s="24" t="str">
        <x:v>Occasional heavy element delivery</x:v>
      </x:c>
      <x:c r="K14" s="24" t="str">
        <x:v>NASA current capability target</x:v>
      </x:c>
      <x:c r="L14" s="24" t="str">
        <x:v>NASA HLS cargo</x:v>
      </x:c>
    </x:row>
    <x:row r="15">
      <x:c r="A15" s="24" t="str">
        <x:v>9</x:v>
      </x:c>
      <x:c r="B15" s="24" t="str">
        <x:v>Feeder thermal state</x:v>
      </x:c>
      <x:c r="C15" s="24" t="str">
        <x:v>I²R + cable temperature</x:v>
      </x:c>
      <x:c r="D15" s="24" t="str">
        <x:v>10</x:v>
      </x:c>
      <x:c r="E15" s="24" t="str">
        <x:v>Dust/connectors</x:v>
      </x:c>
      <x:c r="F15" s="24" t="str">
        <x:v>Recurring cargo demand / yr</x:v>
      </x:c>
      <x:c r="G15" s="24" t="str">
        <x:v>2,500 kg</x:v>
      </x:c>
      <x:c r="H15" s="24" t="str">
        <x:v>6,250 kg</x:v>
      </x:c>
      <x:c r="I15" s="24" t="str">
        <x:v>10,000 kg</x:v>
      </x:c>
      <x:c r="J15" s="24" t="str">
        <x:v>All logistics, not only power</x:v>
      </x:c>
      <x:c r="K15" s="24" t="str">
        <x:v>NASA forecast</x:v>
      </x:c>
      <x:c r="L15" s="24" t="str">
        <x:v>NASA Lunar Surface Cargo</x:v>
      </x:c>
    </x:row>
    <x:row r="16">
      <x:c r="A16" s="24" t="str">
        <x:v>13</x:v>
      </x:c>
      <x:c r="B16" s="24" t="str">
        <x:v>Maintenance state</x:v>
      </x:c>
      <x:c r="C16" s="24" t="str">
        <x:v>failed / isolated / spare</x:v>
      </x:c>
      <x:c r="D16" s="24" t="str">
        <x:v>14</x:v>
      </x:c>
      <x:c r="E16" s="24" t="str">
        <x:v>Communications</x:v>
      </x:c>
      <x:c r="F16" s="24" t="str">
        <x:v>Seed battery</x:v>
      </x:c>
      <x:c r="G16" s="24" t="str">
        <x:v>50 kWh</x:v>
      </x:c>
      <x:c r="H16" s="24" t="str">
        <x:v>100 kWh</x:v>
      </x:c>
      <x:c r="I16" s="24" t="str">
        <x:v>150 kWh</x:v>
      </x:c>
      <x:c r="J16" s="24" t="str">
        <x:v>First autonomous node</x:v>
      </x:c>
      <x:c r="K16" s="24" t="str">
        <x:v>Engineering scenario</x:v>
      </x:c>
      <x:c r="L16" s="24" t="str">
        <x:v>LOGIC model</x:v>
      </x:c>
    </x:row>
    <x:row r="17">
      <x:c r="A17" s="24" t="str">
        <x:v>17</x:v>
      </x:c>
      <x:c r="B17" s="24" t="str">
        <x:v>Logistics</x:v>
      </x:c>
      <x:c r="C17" s="24" t="str">
        <x:v>spares / cable / converter inventory</x:v>
      </x:c>
      <x:c r="D17" s="24" t="str">
        <x:v>18</x:v>
      </x:c>
      <x:c r="E17" s="24" t="str">
        <x:v>Safety</x:v>
      </x:c>
      <x:c r="F17" s="24" t="str">
        <x:v>Utility node count by 2033</x:v>
      </x:c>
      <x:c r="G17" s="24" t="str">
        <x:v>3</x:v>
      </x:c>
      <x:c r="H17" s="24" t="str">
        <x:v>4</x:v>
      </x:c>
      <x:c r="I17" s="24" t="str">
        <x:v>5</x:v>
      </x:c>
      <x:c r="J17" s="24" t="str">
        <x:v>Modular microgrid growth</x:v>
      </x:c>
      <x:c r="K17" s="24" t="str">
        <x:v>Engineering scenario</x:v>
      </x:c>
      <x:c r="L17" s="24" t="str">
        <x:v>LOGIC model</x:v>
      </x:c>
    </x:row>
    <x:row r="18">
      <x:c r="F18" s="24" t="str">
        <x:v>Plant crop area by 2033</x:v>
      </x:c>
      <x:c r="G18" s="24" t="str">
        <x:v>25 m²</x:v>
      </x:c>
      <x:c r="H18" s="24" t="str">
        <x:v>50 m²</x:v>
      </x:c>
      <x:c r="I18" s="24" t="str">
        <x:v>100 m²</x:v>
      </x:c>
      <x:c r="J18" s="24" t="str">
        <x:v>Expandable crop area</x:v>
      </x:c>
      <x:c r="K18" s="24" t="str">
        <x:v>Engineering scenario</x:v>
      </x:c>
      <x:c r="L18" s="24" t="str">
        <x:v>LOGIC model</x:v>
      </x:c>
    </x:row>
    <x:row r="19">
      <x:c r="A19" s="50" t="str">
        <x:v>Key point</x:v>
      </x:c>
      <x:c r="B19" s="50" t="str">
        <x:v>This is a base microgrid, not one giant power panel. The dashboard should show source nodes, storage nodes, load centers, feeder segments, and switchgear states as a network.</x:v>
      </x:c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</x:row>
    <x:row r="38">
      <x:c r="G38" s="63" t="str">
        <x:v>TOP DEVELOPMENT GAPS</x:v>
      </x:c>
      <x:c r="H38" s="63"/>
      <x:c r="I38" s="63"/>
      <x:c r="J38" s="63"/>
      <x:c r="K38" s="63"/>
      <x:c r="L38" s="63"/>
    </x:row>
    <x:row r="39">
      <x:c r="G39" s="24" t="str">
        <x:v>1</x:v>
      </x:c>
      <x:c r="H39" s="24" t="str">
        <x:v>Autonomous EMS</x:v>
      </x:c>
      <x:c r="I39" s="24" t="str">
        <x:v>TRL 3</x:v>
      </x:c>
      <x:c r="J39" s="24" t="str">
        <x:v>Very High</x:v>
      </x:c>
      <x:c r="K39" s="24" t="str">
        <x:v>Uncrewed grid operation</x:v>
      </x:c>
      <x:c r="L39" s="24" t="str">
        <x:v>Before Node 02</x:v>
      </x:c>
    </x:row>
    <x:row r="40">
      <x:c r="G40" s="24" t="str">
        <x:v>2</x:v>
      </x:c>
      <x:c r="H40" s="24" t="str">
        <x:v>Dust-tolerant automated umbilical</x:v>
      </x:c>
      <x:c r="I40" s="24" t="str">
        <x:v>TRL 4</x:v>
      </x:c>
      <x:c r="J40" s="24" t="str">
        <x:v>Very High</x:v>
      </x:c>
      <x:c r="K40" s="24" t="str">
        <x:v>Power/data/fluid service</x:v>
      </x:c>
      <x:c r="L40" s="24" t="str">
        <x:v>Before sustained habitat</x:v>
      </x:c>
    </x:row>
    <x:row r="41">
      <x:c r="G41" s="24" t="str">
        <x:v>3</x:v>
      </x:c>
      <x:c r="H41" s="24" t="str">
        <x:v>Modular PMAD electronics</x:v>
      </x:c>
      <x:c r="I41" s="24" t="str">
        <x:v>TRL 4</x:v>
      </x:c>
      <x:c r="J41" s="24" t="str">
        <x:v>Very High</x:v>
      </x:c>
      <x:c r="K41" s="24" t="str">
        <x:v>Common spares + converters</x:v>
      </x:c>
      <x:c r="L41" s="24" t="str">
        <x:v>Early</x:v>
      </x:c>
    </x:row>
    <x:row r="42">
      <x:c r="G42" s="24" t="str">
        <x:v>4</x:v>
      </x:c>
      <x:c r="H42" s="24" t="str">
        <x:v>HV feeder + field repair</x:v>
      </x:c>
      <x:c r="I42" s="24" t="str">
        <x:v>TRL 5–6</x:v>
      </x:c>
      <x:c r="J42" s="24" t="str">
        <x:v>Very High</x:v>
      </x:c>
      <x:c r="K42" s="24" t="str">
        <x:v>km-class modular growth</x:v>
      </x:c>
      <x:c r="L42" s="24" t="str">
        <x:v>Before dispersed base</x:v>
      </x:c>
    </x:row>
    <x:row r="43">
      <x:c r="G43" s="24" t="str">
        <x:v>5</x:v>
      </x:c>
      <x:c r="H43" s="24" t="str">
        <x:v>Long-duration storage</x:v>
      </x:c>
      <x:c r="I43" s="24" t="str">
        <x:v>TRL ~4 class tech</x:v>
      </x:c>
      <x:c r="J43" s="24" t="str">
        <x:v>Very High</x:v>
      </x:c>
      <x:c r="K43" s="24" t="str">
        <x:v>Ride-through / uncrewed survival</x:v>
      </x:c>
      <x:c r="L43" s="24" t="str">
        <x:v>First node</x:v>
      </x:c>
    </x:row>
    <x:row r="44">
      <x:c r="G44" s="24" t="str">
        <x:v>6</x:v>
      </x:c>
      <x:c r="H44" s="24" t="str">
        <x:v>Safe concentrator control</x:v>
      </x:c>
      <x:c r="I44" s="24" t="str">
        <x:v>Architecture gap</x:v>
      </x:c>
      <x:c r="J44" s="24" t="str">
        <x:v>High</x:v>
      </x:c>
      <x:c r="K44" s="24" t="str">
        <x:v>Plant/thermal optical delivery</x:v>
      </x:c>
      <x:c r="L44" s="24" t="str">
        <x:v>Before optical dependence</x:v>
      </x:c>
    </x:row>
    <x:row r="46">
      <x:c r="A46" s="78" t="str">
        <x:v>POWER CONVERSION LAYER</x:v>
      </x:c>
      <x:c r="B46" s="78"/>
      <x:c r="C46" s="78"/>
      <x:c r="D46" s="78"/>
      <x:c r="E46" s="78"/>
      <x:c r="F46" s="78"/>
    </x:row>
    <x:row r="47">
      <x:c r="A47" s="41" t="str">
        <x:v>Architecture</x:v>
      </x:c>
      <x:c r="B47" s="24" t="str">
        <x:v>HV trunk → isolated DC/DC → 120 VDC local → 48/28 VDC secondary</x:v>
      </x:c>
      <x:c r="C47" s="24" t="str"/>
      <x:c r="D47" s="24" t="str"/>
      <x:c r="E47" s="24" t="str"/>
      <x:c r="F47" s="24" t="str"/>
    </x:row>
    <x:row r="48">
      <x:c r="A48" s="41" t="str">
        <x:v>Standard module</x:v>
      </x:c>
      <x:c r="B48" s="24" t="str">
        <x:v>5 kW converter brick</x:v>
      </x:c>
      <x:c r="C48" s="24" t="str">
        <x:v>Parallel for larger nodes</x:v>
      </x:c>
      <x:c r="D48" s="24" t="str">
        <x:v>Common spare philosophy</x:v>
      </x:c>
      <x:c r="E48" s="24" t="str"/>
      <x:c r="F48" s="24" t="str"/>
    </x:row>
    <x:row r="49">
      <x:c r="A49" s="41" t="str">
        <x:v>Nominal efficiency</x:v>
      </x:c>
      <x:c r="B49" s="24" t="str">
        <x:v>95%</x:v>
      </x:c>
      <x:c r="C49" s="24" t="str">
        <x:v>Editable engineering assumption</x:v>
      </x:c>
      <x:c r="D49" s="24" t="str">
        <x:v>Thermal consequence</x:v>
      </x:c>
      <x:c r="E49" s="24" t="str"/>
      <x:c r="F49" s="24" t="str"/>
    </x:row>
    <x:row r="50">
      <x:c r="A50" s="41" t="str">
        <x:v>20 kW delivered</x:v>
      </x:c>
      <x:c r="B50" s="24" t="str">
        <x:v>~1.05 kW converter waste heat</x:v>
      </x:c>
      <x:c r="C50" s="24" t="str">
        <x:v>Local radiator / thermal path required</x:v>
      </x:c>
      <x:c r="D50" s="24" t="str"/>
      <x:c r="E50" s="24" t="str"/>
      <x:c r="F50" s="24" t="str"/>
    </x:row>
    <x:row r="51">
      <x:c r="A51" s="41" t="str">
        <x:v>Crew-critical rule</x:v>
      </x:c>
      <x:c r="B51" s="24" t="str">
        <x:v>N+1 converter capacity</x:v>
      </x:c>
      <x:c r="C51" s="24" t="str">
        <x:v>Bypass + isolation path</x:v>
      </x:c>
      <x:c r="D51" s="24" t="str">
        <x:v>No single converter failure</x:v>
      </x:c>
      <x:c r="E51" s="24" t="str"/>
      <x:c r="F51" s="24" t="str"/>
    </x:row>
    <x:row r="52">
      <x:c r="A52" s="41" t="str">
        <x:v>Key metrics</x:v>
      </x:c>
      <x:c r="B52" s="24" t="str">
        <x:v>kg/kW</x:v>
      </x:c>
      <x:c r="C52" s="24" t="str">
        <x:v>Efficiency vs load</x:v>
      </x:c>
      <x:c r="D52" s="24" t="str">
        <x:v>Waste heat/node</x:v>
      </x:c>
      <x:c r="E52" s="24" t="str">
        <x:v>Spare commonality</x:v>
      </x:c>
      <x:c r="F52" s="24" t="str">
        <x:v>Radiation/fault tolerance</x:v>
      </x:c>
    </x:row>
  </x:sheetData>
  <x:mergeCells>
    <x:mergeCell ref="A1:L1"/>
    <x:mergeCell ref="F3:L3"/>
    <x:mergeCell ref="B19:L19"/>
    <x:mergeCell ref="F12:L12"/>
    <x:mergeCell ref="G38:L38"/>
    <x:mergeCell ref="A46:F46"/>
  </x:mergeCells>
  <x:pageMargins left="0.7" right="0.7" top="0.75" bottom="0.75" header="0.3" footer="0.3"/>
  <x:drawing xmlns:r="http://schemas.openxmlformats.org/officeDocument/2006/relationships" r:id="Rd98380fe3c9e434f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70" hidden="0" customWidth="1"/>
    <x:col min="4" max="4" width="36" hidden="0" customWidth="1"/>
  </x:cols>
  <x:sheetData>
    <x:row r="1" ht="28" customHeight="1">
      <x:c r="A1" s="5" t="str">
        <x:v>Sources and Model Provenance</x:v>
      </x:c>
    </x:row>
    <x:row r="3">
      <x:c r="A3" s="14" t="str">
        <x:v>Topic</x:v>
      </x:c>
      <x:c r="B3" s="14" t="str">
        <x:v>Source / Claim</x:v>
      </x:c>
      <x:c r="C3" s="14" t="str">
        <x:v>URL</x:v>
      </x:c>
      <x:c r="D3" s="14" t="str">
        <x:v>How Used</x:v>
      </x:c>
    </x:row>
    <x:row r="4">
      <x:c r="A4" s="24" t="str">
        <x:v>NASA Moon Base phases</x:v>
      </x:c>
      <x:c r="B4" s="24" t="str">
        <x:v>Phase 1 now–2029; Phase 2 2029–2032; Phase 3 2032+</x:v>
      </x:c>
      <x:c r="C4" s="24" t="str">
        <x:v>https://www.nasa.gov/moonbase-phases/</x:v>
      </x:c>
      <x:c r="D4" s="24" t="str">
        <x:v>Timeline</x:v>
      </x:c>
    </x:row>
    <x:row r="5">
      <x:c r="A5" s="24" t="str">
        <x:v>NASA Moon Base systems</x:v>
      </x:c>
      <x:c r="B5" s="24" t="str">
        <x:v>Phase 2 early habitation; Phase 3 100 m³-class habitation and operational fission power</x:v>
      </x:c>
      <x:c r="C5" s="24" t="str">
        <x:v>https://www.nasa.gov/moonbase-systems/</x:v>
      </x:c>
      <x:c r="D5" s="24" t="str">
        <x:v>Facilities / phase assumptions</x:v>
      </x:c>
    </x:row>
    <x:row r="6">
      <x:c r="A6" s="24" t="str">
        <x:v>NASA/DOE fission</x:v>
      </x:c>
      <x:c r="B6" s="24" t="str">
        <x:v>Lunar surface reactor target by 2030; 40 kW-class development basis</x:v>
      </x:c>
      <x:c r="C6" s="24" t="str">
        <x:v>https://www.nasa.gov/news-release/nasa-department-of-energy-to-develop-lunar-surface-reactor-by-2030/</x:v>
      </x:c>
      <x:c r="D6" s="24" t="str">
        <x:v>2030 firm-generation scenario</x:v>
      </x:c>
    </x:row>
    <x:row r="7">
      <x:c r="A7" s="24" t="str">
        <x:v>NASA Fission Surface Power</x:v>
      </x:c>
      <x:c r="B7" s="24" t="str">
        <x:v>At least 40 kW class, continuous power independent of sunlight</x:v>
      </x:c>
      <x:c r="C7" s="24" t="str">
        <x:v>https://www.nasa.gov/exploration-systems-development-mission-directorate/fission-surface-power/</x:v>
      </x:c>
      <x:c r="D7" s="24" t="str">
        <x:v>Fission capacity</x:v>
      </x:c>
    </x:row>
    <x:row r="8">
      <x:c r="A8" s="24" t="str">
        <x:v>NASA Power / interface</x:v>
      </x:c>
      <x:c r="B8" s="24" t="str">
        <x:v>Bidirectional 6 kW, 120 V, 50 A surface power exchange interface</x:v>
      </x:c>
      <x:c r="C8" s="24" t="str">
        <x:v>https://www.nasa.gov/power/</x:v>
      </x:c>
      <x:c r="D8" s="24" t="str">
        <x:v>Local bus/interoperability context</x:v>
      </x:c>
    </x:row>
    <x:row r="9">
      <x:c r="A9" s="24" t="str">
        <x:v>NASA NTRS lunar power</x:v>
      </x:c>
      <x:c r="B9" s="24" t="str">
        <x:v>120 VDC power exchange; &lt;100 m cited limitation; ~100 W to 10 kW+ per element</x:v>
      </x:c>
      <x:c r="C9" s="24" t="str">
        <x:v>https://ntrs.nasa.gov/citations/20240013588</x:v>
      </x:c>
      <x:c r="D9" s="24" t="str">
        <x:v>Distribution architecture</x:v>
      </x:c>
    </x:row>
    <x:row r="10">
      <x:c r="A10" s="24" t="str">
        <x:v>NASA VSAT TechPort</x:v>
      </x:c>
      <x:c r="B10" s="24" t="str">
        <x:v>10 kW VSAT study; vertical arrays up to 20 m</x:v>
      </x:c>
      <x:c r="C10" s="24" t="str">
        <x:v>https://techport.nasa.gov/projects/116305</x:v>
      </x:c>
      <x:c r="D10" s="24" t="str">
        <x:v>Early solar source</x:v>
      </x:c>
    </x:row>
    <x:row r="11">
      <x:c r="A11" s="24" t="str">
        <x:v>NASA 50 kW solar</x:v>
      </x:c>
      <x:c r="B11" s="24" t="str">
        <x:v>50 kW-class retractable rollable lunar solar array technology</x:v>
      </x:c>
      <x:c r="C11" s="24" t="str">
        <x:v>https://techport.nasa.gov/projects/125385</x:v>
      </x:c>
      <x:c r="D11" s="24" t="str">
        <x:v>2032+ expansion source</x:v>
      </x:c>
    </x:row>
    <x:row r="12">
      <x:c r="A12" s="24" t="str">
        <x:v>LunaGrid-Lite</x:v>
      </x:c>
      <x:c r="B12" s="24" t="str">
        <x:v>High-voltage cable and converter demo, 100–500 m, 1 kW</x:v>
      </x:c>
      <x:c r="C12" s="24" t="str">
        <x:v>https://techport.nasa.gov/projects/147018</x:v>
      </x:c>
      <x:c r="D12" s="24" t="str">
        <x:v>Long feeder architecture</x:v>
      </x:c>
    </x:row>
    <x:row r="13">
      <x:c r="A13" s="24" t="str">
        <x:v>TYMPO</x:v>
      </x:c>
      <x:c r="B13" s="24" t="str">
        <x:v>&gt;90% efficient 100 W–10 kW tether power across meters to kilometers</x:v>
      </x:c>
      <x:c r="C13" s="24" t="str">
        <x:v>https://techport.nasa.gov/projects/116287</x:v>
      </x:c>
      <x:c r="D13" s="24" t="str">
        <x:v>Remote feeder concept</x:v>
      </x:c>
    </x:row>
    <x:row r="14">
      <x:c r="A14" s="24" t="str">
        <x:v>LOGIC Power Report</x:v>
      </x:c>
      <x:c r="B14" s="24" t="str">
        <x:v>Interoperability, telemetry, overstress protection, power provider/user concepts</x:v>
      </x:c>
      <x:c r="C14" s="24" t="str">
        <x:v>User File Library: LOGIC-Power-Report-Styling.pdf</x:v>
      </x:c>
      <x:c r="D14" s="24" t="str">
        <x:v>Panel telemetry / architecture logic</x:v>
      </x:c>
    </x:row>
    <x:row r="15">
      <x:c r="A15" s="24" t="str">
        <x:v>Plant cultivation reference</x:v>
      </x:c>
      <x:c r="B15" s="24" t="str">
        <x:v>Crew of 6 full sustenance estimate ~650 m² growing surface (citing Zeidler et al. 2017)</x:v>
      </x:c>
      <x:c r="C15" s="24" t="str">
        <x:v>User File Library: Hasenstein_et_al-2026-Microgravity_Science_and_Technology.pdf</x:v>
      </x:c>
      <x:c r="D15" s="24" t="str">
        <x:v>Plant scale reference</x:v>
      </x:c>
    </x:row>
    <x:row r="16">
      <x:c r="A16" s="24" t="str">
        <x:v>NASA large cargo landers</x:v>
      </x:c>
      <x:c r="B16" s="24" t="str">
        <x:v>Cargo versions of HLS expected to deliver 12–15 t; no earlier than Artemis VII</x:v>
      </x:c>
      <x:c r="C16" s="24" t="str">
        <x:v>https://www.nasa.gov/humans-in-space/work-underway-on-large-cargo-landers-for-nasas-artemis-moon-missions/</x:v>
      </x:c>
      <x:c r="D16" s="24" t="str">
        <x:v>Mission payload constraint</x:v>
      </x:c>
    </x:row>
    <x:row r="17">
      <x:c r="A17" s="24" t="str">
        <x:v>NASA HLS update</x:v>
      </x:c>
      <x:c r="B17" s="24" t="str">
        <x:v>Large cargo landers 12–15 t; pressurized rover no earlier than 2032; habitat no earlier than 2033</x:v>
      </x:c>
      <x:c r="C17" s="24" t="str">
        <x:v>https://ntrs.nasa.gov/citations/20250008727</x:v>
      </x:c>
      <x:c r="D17" s="24" t="str">
        <x:v>Buildout anchors</x:v>
      </x:c>
    </x:row>
    <x:row r="18">
      <x:c r="A18" s="24" t="str">
        <x:v>NASA Lunar Surface Cargo</x:v>
      </x:c>
      <x:c r="B18" s="24" t="str">
        <x:v>Recurring logistics 2,500–10,000 kg/year; occasional large elements up to 15,000 kg</x:v>
      </x:c>
      <x:c r="C18" s="24" t="str">
        <x:v>https://www.nasa.gov/wp-content/uploads/2024/06/acr24-lunar-surface-cargo.pdf</x:v>
      </x:c>
      <x:c r="D18" s="24" t="str">
        <x:v>Supply forecast</x:v>
      </x:c>
    </x:row>
    <x:row r="19">
      <x:c r="A19" s="24" t="str">
        <x:v>NASA Space Logistics Power Catalog</x:v>
      </x:c>
      <x:c r="B19" s="24" t="str">
        <x:v>AEMS TRL 3; modular power TRL 4; DTAU TRL 4; wireless charging TRL 5; HV cable TRL 6; RFC TRL 4</x:v>
      </x:c>
      <x:c r="C19" s="24" t="str">
        <x:v>https://www.nasa.gov/power/</x:v>
      </x:c>
      <x:c r="D19" s="24" t="str">
        <x:v>Technology gap/TRL baseline</x:v>
      </x:c>
    </x:row>
    <x:row r="20">
      <x:c r="A20" s="24" t="str">
        <x:v>NASA LunaGrid-Lite</x:v>
      </x:c>
      <x:c r="B20" s="24" t="str">
        <x:v>100–500 m high-voltage cable demo; 1 kW transmission; regolith/plasma loss characterization</x:v>
      </x:c>
      <x:c r="C20" s="24" t="str">
        <x:v>https://techport.nasa.gov/projects/147018</x:v>
      </x:c>
      <x:c r="D20" s="24" t="str">
        <x:v>Cable deployment and lunar validation</x:v>
      </x:c>
    </x:row>
    <x:row r="21">
      <x:c r="A21" s="24" t="str">
        <x:v>NASA/DOE reactor 2030</x:v>
      </x:c>
      <x:c r="B21" s="24" t="str">
        <x:v>Renewed NASA/DOE commitment for lunar surface reactor by 2030</x:v>
      </x:c>
      <x:c r="C21" s="24" t="str">
        <x:v>https://www.nasa.gov/news-release/nasa-department-of-energy-to-develop-lunar-surface-reactor-by-2030/</x:v>
      </x:c>
      <x:c r="D21" s="24" t="str">
        <x:v>Timeline</x:v>
      </x:c>
    </x:row>
    <x:row r="22">
      <x:c r="A22" s="24" t="str">
        <x:v>NASA Fission Surface Power</x:v>
      </x:c>
      <x:c r="B22" s="24" t="str">
        <x:v>40 kW-class continuous lunar power reference</x:v>
      </x:c>
      <x:c r="C22" s="24" t="str">
        <x:v>https://www.nasa.gov/exploration-systems-development-mission-directorate/fission-surface-power/</x:v>
      </x:c>
      <x:c r="D22" s="24" t="str">
        <x:v>Firm source scale</x:v>
      </x:c>
    </x:row>
    <x:row r="23">
      <x:c r="A23" s="24" t="str">
        <x:v>Industry comparator / follow-up</x:v>
      </x:c>
      <x:c r="B23" s="24" t="str">
        <x:v>Cislunar Industries DC/DC converter mentioned by project lead as space-flown; verify model, rating, interface, mass, efficiency, radiation qualification, and flight heritage before using as a baseline.</x:v>
      </x:c>
      <x:c r="C23" s="24" t="str"/>
      <x:c r="D23" s="24" t="str">
        <x:v>Candidate hardware benchmark for conversion-layer trade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2" hidden="0" customWidth="1"/>
    <x:col min="4" max="4" width="30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18" hidden="0" customWidth="1"/>
    <x:col min="11" max="11" width="34" hidden="0" customWidth="1"/>
    <x:col min="12" max="12" width="18" hidden="0" customWidth="1"/>
    <x:col min="13" max="13" width="20" hidden="0" customWidth="1"/>
    <x:col min="14" max="14" width="44" hidden="0" customWidth="1"/>
  </x:cols>
  <x:sheetData>
    <x:row r="1" ht="28" customHeight="1">
      <x:c r="A1" s="58" t="str">
        <x:v>Mission Buildout — Cargo-Limited Lunar Microgrid Growth</x:v>
      </x:c>
    </x:row>
    <x:row r="3">
      <x:c r="A3" s="63" t="str">
        <x:v>Step</x:v>
      </x:c>
      <x:c r="B3" s="63" t="str">
        <x:v>Earliest Window</x:v>
      </x:c>
      <x:c r="C3" s="63" t="str">
        <x:v>NASA / Program Anchor</x:v>
      </x:c>
      <x:c r="D3" s="63" t="str">
        <x:v>Primary Delivery</x:v>
      </x:c>
      <x:c r="E3" s="63" t="str">
        <x:v>Nominal Payload Limit kg</x:v>
      </x:c>
      <x:c r="F3" s="63" t="str">
        <x:v>Power HW Allocation kg</x:v>
      </x:c>
      <x:c r="G3" s="63" t="str">
        <x:v>Battery kWh</x:v>
      </x:c>
      <x:c r="H3" s="63" t="str">
        <x:v>New Generation kW</x:v>
      </x:c>
      <x:c r="I3" s="63" t="str">
        <x:v>New Utility Nodes</x:v>
      </x:c>
      <x:c r="J3" s="63" t="str">
        <x:v>Cable / Umbilical m</x:v>
      </x:c>
      <x:c r="K3" s="63" t="str">
        <x:v>Primary Work</x:v>
      </x:c>
      <x:c r="L3" s="63" t="str">
        <x:v>Crew Dependence</x:v>
      </x:c>
      <x:c r="M3" s="63" t="str">
        <x:v>Status</x:v>
      </x:c>
      <x:c r="N3" s="63" t="str">
        <x:v>Source / Basis</x:v>
      </x:c>
    </x:row>
    <x:row r="4">
      <x:c r="A4" s="24" t="n">
        <x:v>1</x:v>
      </x:c>
      <x:c r="B4" s="24" t="str">
        <x:v>2026–2028</x:v>
      </x:c>
      <x:c r="C4" s="24" t="str">
        <x:v>Foundational robotic demonstrations / Moon Base infrastructure</x:v>
      </x:c>
      <x:c r="D4" s="24" t="str">
        <x:v>Autonomous Power Node 01</x:v>
      </x:c>
      <x:c r="E4" s="64" t="n">
        <x:v>500</x:v>
      </x:c>
      <x:c r="F4" s="64" t="n">
        <x:v>350</x:v>
      </x:c>
      <x:c r="G4" s="64" t="n">
        <x:v>100</x:v>
      </x:c>
      <x:c r="H4" s="64" t="n">
        <x:v>2</x:v>
      </x:c>
      <x:c r="I4" s="64" t="n">
        <x:v>1</x:v>
      </x:c>
      <x:c r="J4" s="64" t="n">
        <x:v>250</x:v>
      </x:c>
      <x:c r="K4" s="64" t="str">
        <x:v>Land battery, PMAD, comms, local solar, sensors; validate cable/regolith/thermal behavior</x:v>
      </x:c>
      <x:c r="L4" s="24" t="str">
        <x:v>Uncrewed</x:v>
      </x:c>
      <x:c r="M4" s="24" t="str">
        <x:v>Concept / early demo</x:v>
      </x:c>
      <x:c r="N4" s="24" t="str">
        <x:v>NASA Moon Base tech demos; payload amount is engineering scenario</x:v>
      </x:c>
    </x:row>
    <x:row r="5">
      <x:c r="A5" s="24" t="n">
        <x:v>2</x:v>
      </x:c>
      <x:c r="B5" s="24" t="str">
        <x:v>2028–2030</x:v>
      </x:c>
      <x:c r="C5" s="24" t="str">
        <x:v>Pre-crew infrastructure maturation</x:v>
      </x:c>
      <x:c r="D5" s="24" t="str">
        <x:v>Utility Node 02 + service charger</x:v>
      </x:c>
      <x:c r="E5" s="64" t="n">
        <x:v>1000</x:v>
      </x:c>
      <x:c r="F5" s="64" t="n">
        <x:v>700</x:v>
      </x:c>
      <x:c r="G5" s="64" t="n">
        <x:v>100</x:v>
      </x:c>
      <x:c r="H5" s="64" t="n">
        <x:v>5</x:v>
      </x:c>
      <x:c r="I5" s="64" t="n">
        <x:v>1</x:v>
      </x:c>
      <x:c r="J5" s="64" t="n">
        <x:v>500</x:v>
      </x:c>
      <x:c r="K5" s="64" t="str">
        <x:v>Deploy second node, drive-up wired charger, dust-tolerant connectors, redundant feeder path</x:v>
      </x:c>
      <x:c r="L5" s="24" t="str">
        <x:v>Uncrewed</x:v>
      </x:c>
      <x:c r="M5" s="24" t="str">
        <x:v>Architecture scenario</x:v>
      </x:c>
      <x:c r="N5" s="24" t="str">
        <x:v>Engineering scenario; NASA power interface / LunaGrid-Lite direction</x:v>
      </x:c>
    </x:row>
    <x:row r="6">
      <x:c r="A6" s="24" t="n">
        <x:v>3</x:v>
      </x:c>
      <x:c r="B6" s="24" t="str">
        <x:v>2030</x:v>
      </x:c>
      <x:c r="C6" s="24" t="str">
        <x:v>NASA/DOE lunar reactor target</x:v>
      </x:c>
      <x:c r="D6" s="24" t="str">
        <x:v>Fission / firm-power interface package</x:v>
      </x:c>
      <x:c r="E6" s="64" t="n">
        <x:v>6000</x:v>
      </x:c>
      <x:c r="F6" s="64" t="n">
        <x:v>5500</x:v>
      </x:c>
      <x:c r="G6" s="64" t="n">
        <x:v>50</x:v>
      </x:c>
      <x:c r="H6" s="64" t="n">
        <x:v>40</x:v>
      </x:c>
      <x:c r="I6" s="64" t="n">
        <x:v>1</x:v>
      </x:c>
      <x:c r="J6" s="64" t="n">
        <x:v>1000</x:v>
      </x:c>
      <x:c r="K6" s="64" t="str">
        <x:v>Commission firm source, HV transmission, local 120 VDC conversion, black-start battery</x:v>
      </x:c>
      <x:c r="L6" s="24" t="str">
        <x:v>Uncrewed-to-crewed</x:v>
      </x:c>
      <x:c r="M6" s="24" t="str">
        <x:v>NASA target + integration scenario</x:v>
      </x:c>
      <x:c r="N6" s="24" t="str">
        <x:v>NASA 2030 reactor target; historical 40 kW-class &lt;6 t requirement</x:v>
      </x:c>
    </x:row>
    <x:row r="7">
      <x:c r="A7" s="24" t="n">
        <x:v>4</x:v>
      </x:c>
      <x:c r="B7" s="24" t="str">
        <x:v>2031–2032</x:v>
      </x:c>
      <x:c r="C7" s="24" t="str">
        <x:v>Large cargo capability; pressurized rover no earlier than 2032</x:v>
      </x:c>
      <x:c r="D7" s="24" t="str">
        <x:v>Mobility + Node 03</x:v>
      </x:c>
      <x:c r="E7" s="64" t="n">
        <x:v>15000</x:v>
      </x:c>
      <x:c r="F7" s="64" t="n">
        <x:v>2500</x:v>
      </x:c>
      <x:c r="G7" s="64" t="n">
        <x:v>150</x:v>
      </x:c>
      <x:c r="H7" s="64" t="n">
        <x:v>10</x:v>
      </x:c>
      <x:c r="I7" s="64" t="n">
        <x:v>1</x:v>
      </x:c>
      <x:c r="J7" s="64" t="n">
        <x:v>1000</x:v>
      </x:c>
      <x:c r="K7" s="64" t="str">
        <x:v>Rover service bay, EVA charging, maintenance power, utility umbilicals</x:v>
      </x:c>
      <x:c r="L7" s="24" t="str">
        <x:v>Crew-supporting</x:v>
      </x:c>
      <x:c r="M7" s="24" t="str">
        <x:v>NASA anchor + model</x:v>
      </x:c>
      <x:c r="N7" s="24" t="str">
        <x:v>12–15 t cargo lander class; pressurized rover no earlier than 2032</x:v>
      </x:c>
    </x:row>
    <x:row r="8">
      <x:c r="A8" s="24" t="n">
        <x:v>5</x:v>
      </x:c>
      <x:c r="B8" s="24" t="str">
        <x:v>2032–2033</x:v>
      </x:c>
      <x:c r="C8" s="24" t="str">
        <x:v>Habitat buildout</x:v>
      </x:c>
      <x:c r="D8" s="24" t="str">
        <x:v>Habitat support + Node 04</x:v>
      </x:c>
      <x:c r="E8" s="64" t="n">
        <x:v>15000</x:v>
      </x:c>
      <x:c r="F8" s="64" t="n">
        <x:v>3000</x:v>
      </x:c>
      <x:c r="G8" s="64" t="n">
        <x:v>200</x:v>
      </x:c>
      <x:c r="H8" s="64" t="n">
        <x:v>10</x:v>
      </x:c>
      <x:c r="I8" s="64" t="n">
        <x:v>1</x:v>
      </x:c>
      <x:c r="J8" s="64" t="n">
        <x:v>750</x:v>
      </x:c>
      <x:c r="K8" s="64" t="str">
        <x:v>Habitat local load center, ECLSS redundancy, crew handover peak support</x:v>
      </x:c>
      <x:c r="L8" s="24" t="str">
        <x:v>Crew-critical</x:v>
      </x:c>
      <x:c r="M8" s="24" t="str">
        <x:v>NASA anchor + model</x:v>
      </x:c>
      <x:c r="N8" s="24" t="str">
        <x:v>Initial lunar habitat / cargo buildout; habitat target no earlier than 2033</x:v>
      </x:c>
    </x:row>
    <x:row r="9">
      <x:c r="A9" s="24" t="n">
        <x:v>6</x:v>
      </x:c>
      <x:c r="B9" s="24" t="str">
        <x:v>2033+</x:v>
      </x:c>
      <x:c r="C9" s="24" t="str">
        <x:v>Sustained operations</x:v>
      </x:c>
      <x:c r="D9" s="24" t="str">
        <x:v>Plant Module 01 + optical towers</x:v>
      </x:c>
      <x:c r="E9" s="64" t="n">
        <x:v>15000</x:v>
      </x:c>
      <x:c r="F9" s="64" t="n">
        <x:v>2500</x:v>
      </x:c>
      <x:c r="G9" s="64" t="n">
        <x:v>100</x:v>
      </x:c>
      <x:c r="H9" s="64" t="n">
        <x:v>10</x:v>
      </x:c>
      <x:c r="I9" s="64" t="n">
        <x:v>1</x:v>
      </x:c>
      <x:c r="J9" s="64" t="n">
        <x:v>500</x:v>
      </x:c>
      <x:c r="K9" s="64" t="str">
        <x:v>Install 25–50 m² crop module, concentrator towers, dedicated crop/critical buses</x:v>
      </x:c>
      <x:c r="L9" s="24" t="str">
        <x:v>Crew-supporting</x:v>
      </x:c>
      <x:c r="M9" s="24" t="str">
        <x:v>LOGIC architecture</x:v>
      </x:c>
      <x:c r="N9" s="24" t="str">
        <x:v>Engineering scenario</x:v>
      </x:c>
    </x:row>
    <x:row r="10">
      <x:c r="A10" s="24" t="n">
        <x:v>7</x:v>
      </x:c>
      <x:c r="B10" s="24" t="str">
        <x:v>2034+</x:v>
      </x:c>
      <x:c r="C10" s="24" t="str">
        <x:v>Grid expansion</x:v>
      </x:c>
      <x:c r="D10" s="24" t="str">
        <x:v>Node 05 + Plant Expansion + ISRU feeder</x:v>
      </x:c>
      <x:c r="E10" s="64" t="n">
        <x:v>15000</x:v>
      </x:c>
      <x:c r="F10" s="64" t="n">
        <x:v>3500</x:v>
      </x:c>
      <x:c r="G10" s="64" t="n">
        <x:v>200</x:v>
      </x:c>
      <x:c r="H10" s="64" t="n">
        <x:v>20</x:v>
      </x:c>
      <x:c r="I10" s="64" t="n">
        <x:v>1</x:v>
      </x:c>
      <x:c r="J10" s="64" t="n">
        <x:v>1500</x:v>
      </x:c>
      <x:c r="K10" s="64" t="str">
        <x:v>Add plant racks, ISRU / construction branch, storage and feeder redundancy</x:v>
      </x:c>
      <x:c r="L10" s="24" t="str">
        <x:v>Sustained</x:v>
      </x:c>
      <x:c r="M10" s="24" t="str">
        <x:v>LOGIC architecture</x:v>
      </x:c>
      <x:c r="N10" s="24" t="str">
        <x:v>Engineering scenario</x:v>
      </x:c>
    </x:row>
    <x:row r="12">
      <x:c r="A12" s="63" t="str">
        <x:v>Model rules</x:v>
      </x:c>
      <x:c r="B12" s="63" t="str"/>
      <x:c r="C12" s="63" t="str"/>
      <x:c r="D12" s="63" t="str"/>
      <x:c r="E12" s="63" t="str"/>
      <x:c r="F12" s="63" t="str"/>
      <x:c r="G12" s="63" t="str"/>
      <x:c r="H12" s="63" t="str"/>
      <x:c r="I12" s="63" t="str"/>
      <x:c r="J12" s="63" t="str"/>
      <x:c r="K12" s="63" t="str"/>
      <x:c r="L12" s="63" t="str"/>
      <x:c r="M12" s="63" t="str"/>
      <x:c r="N12" s="63" t="str"/>
    </x:row>
    <x:row r="13">
      <x:c r="A13" s="24" t="str">
        <x:v>Large lunar cargo landers are currently planned in the 12–15 metric ton class; NASA states they are not expected before Artemis VII.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 t="str">
        <x:v>NASA forecasts recurring lunar logistics demand of roughly 2,500–10,000 kg/year during Foundational Exploration, plus occasional large elements up to ~15,000 kg.</x:v>
      </x:c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 t="str">
        <x:v>Power infrastructure is treated as modular cargo: every landing should add useful generation, storage, distribution, or service capacity without waiting for the final base layout.</x:v>
      </x:c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 t="str">
        <x:v>Mass allocations above are engineering placeholders for trade studies, not flight manifests. Replace them as provider mass properties mature.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</x:sheetData>
  <x:mergeCells>
    <x:mergeCell ref="A1:N1"/>
    <x:mergeCell ref="A13:N13"/>
    <x:mergeCell ref="A14:N14"/>
    <x:mergeCell ref="A15:N15"/>
    <x:mergeCell ref="A16:N16"/>
  </x:mergeCells>
  <x:pageMargins left="0.7" right="0.7" top="0.75" bottom="0.75" header="0.3" footer="0.3"/>
  <x:drawing xmlns:r="http://schemas.openxmlformats.org/officeDocument/2006/relationships" r:id="Rf85011301eda488c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2" hidden="0" customWidth="1"/>
    <x:col min="10" max="10" width="34" hidden="0" customWidth="1"/>
    <x:col min="11" max="11" width="26" hidden="0" customWidth="1"/>
    <x:col min="12" max="12" width="24" hidden="0" customWidth="1"/>
    <x:col min="13" max="13" width="16" hidden="0" customWidth="1"/>
    <x:col min="14" max="14" width="16" hidden="0" customWidth="1"/>
    <x:col min="15" max="15" width="38" hidden="0" customWidth="1"/>
    <x:col min="16" max="16" width="40" hidden="0" customWidth="1"/>
  </x:cols>
  <x:sheetData>
    <x:row r="1" ht="28" customHeight="1">
      <x:c r="A1" s="58" t="str">
        <x:v>Modular Lunar Microgrid — Utility Nodes and Service Points</x:v>
      </x:c>
    </x:row>
    <x:row r="3">
      <x:c r="A3" s="63" t="str">
        <x:v>Node ID</x:v>
      </x:c>
      <x:c r="B3" s="63" t="str">
        <x:v>Function</x:v>
      </x:c>
      <x:c r="C3" s="63" t="str">
        <x:v>Location Role</x:v>
      </x:c>
      <x:c r="D3" s="63" t="str">
        <x:v>Local Bus</x:v>
      </x:c>
      <x:c r="E3" s="63" t="str">
        <x:v>Trunk Interface</x:v>
      </x:c>
      <x:c r="F3" s="63" t="str">
        <x:v>Converter kW</x:v>
      </x:c>
      <x:c r="G3" s="63" t="str">
        <x:v>Battery kWh</x:v>
      </x:c>
      <x:c r="H3" s="63" t="str">
        <x:v>Service Charger</x:v>
      </x:c>
      <x:c r="I3" s="63" t="str">
        <x:v>Umbilicals</x:v>
      </x:c>
      <x:c r="J3" s="63" t="str">
        <x:v>Critical Loads Served</x:v>
      </x:c>
      <x:c r="K3" s="63" t="str">
        <x:v>Telemetry</x:v>
      </x:c>
      <x:c r="L3" s="63" t="str">
        <x:v>Fault Isolation</x:v>
      </x:c>
      <x:c r="M3" s="63" t="str">
        <x:v>Expansion Ports</x:v>
      </x:c>
      <x:c r="N3" s="63" t="str">
        <x:v>Target Timing</x:v>
      </x:c>
      <x:c r="O3" s="63" t="str">
        <x:v>Design Note</x:v>
      </x:c>
      <x:c r="P3" s="78" t="str">
        <x:v>Conversion Architecture</x:v>
      </x:c>
    </x:row>
    <x:row r="4">
      <x:c r="A4" s="24" t="str">
        <x:v>UN-01</x:v>
      </x:c>
      <x:c r="B4" s="24" t="str">
        <x:v>Autonomous seed node</x:v>
      </x:c>
      <x:c r="C4" s="24" t="str">
        <x:v>Initial landing / power test</x:v>
      </x:c>
      <x:c r="D4" s="24" t="str">
        <x:v>120 VDC</x:v>
      </x:c>
      <x:c r="E4" s="24" t="str">
        <x:v>HV TBD</x:v>
      </x:c>
      <x:c r="F4" s="64" t="n">
        <x:v>10</x:v>
      </x:c>
      <x:c r="G4" s="64" t="n">
        <x:v>100</x:v>
      </x:c>
      <x:c r="H4" s="24" t="str">
        <x:v>Wired 6 kW</x:v>
      </x:c>
      <x:c r="I4" s="24" t="str">
        <x:v>2</x:v>
      </x:c>
      <x:c r="J4" s="24" t="str">
        <x:v>Comms, sensors, test loads</x:v>
      </x:c>
      <x:c r="K4" s="24" t="str">
        <x:v>V/I/T/SOC/insulation</x:v>
      </x:c>
      <x:c r="L4" s="24" t="str">
        <x:v>Sectionalizing + remote trip</x:v>
      </x:c>
      <x:c r="M4" s="24" t="str">
        <x:v>2</x:v>
      </x:c>
      <x:c r="N4" s="24" t="str">
        <x:v>2026–2028</x:v>
      </x:c>
      <x:c r="O4" s="24" t="str">
        <x:v>First permanent utility node; must operate unattended</x:v>
      </x:c>
      <x:c r="P4" s="24" t="str">
        <x:v>1–2 standard 5 kW isolated DC/DC bricks; local 120 VDC bus</x:v>
      </x:c>
    </x:row>
    <x:row r="5">
      <x:c r="A5" s="24" t="str">
        <x:v>UN-02</x:v>
      </x:c>
      <x:c r="B5" s="24" t="str">
        <x:v>Vehicle service node</x:v>
      </x:c>
      <x:c r="C5" s="24" t="str">
        <x:v>Rover parking / maintenance</x:v>
      </x:c>
      <x:c r="D5" s="24" t="str">
        <x:v>120 VDC</x:v>
      </x:c>
      <x:c r="E5" s="24" t="str">
        <x:v>HV TBD</x:v>
      </x:c>
      <x:c r="F5" s="64" t="n">
        <x:v>10</x:v>
      </x:c>
      <x:c r="G5" s="64" t="n">
        <x:v>100</x:v>
      </x:c>
      <x:c r="H5" s="24" t="str">
        <x:v>Wired first; wireless later</x:v>
      </x:c>
      <x:c r="I5" s="24" t="str">
        <x:v>4</x:v>
      </x:c>
      <x:c r="J5" s="24" t="str">
        <x:v>Rover charging, tools, diagnostics</x:v>
      </x:c>
      <x:c r="K5" s="24" t="str">
        <x:v>Add connector temp/dust state</x:v>
      </x:c>
      <x:c r="L5" s="24" t="str">
        <x:v>Dual feeder preferred</x:v>
      </x:c>
      <x:c r="M5" s="24" t="str">
        <x:v>4</x:v>
      </x:c>
      <x:c r="N5" s="24" t="str">
        <x:v>2028–2030</x:v>
      </x:c>
      <x:c r="O5" s="24" t="str">
        <x:v>Drive-up service spot; standardized mechanical alignment features</x:v>
      </x:c>
      <x:c r="P5" s="24" t="str">
        <x:v>2 standard bricks; charger load can be time-shifted</x:v>
      </x:c>
    </x:row>
    <x:row r="6">
      <x:c r="A6" s="24" t="str">
        <x:v>UN-03</x:v>
      </x:c>
      <x:c r="B6" s="24" t="str">
        <x:v>Mobility / EVA node</x:v>
      </x:c>
      <x:c r="C6" s="24" t="str">
        <x:v>Pressurized rover + EVA zone</x:v>
      </x:c>
      <x:c r="D6" s="24" t="str">
        <x:v>120/28 VDC</x:v>
      </x:c>
      <x:c r="E6" s="24" t="str">
        <x:v>HV TBD</x:v>
      </x:c>
      <x:c r="F6" s="64" t="n">
        <x:v>20</x:v>
      </x:c>
      <x:c r="G6" s="64" t="n">
        <x:v>150</x:v>
      </x:c>
      <x:c r="H6" s="24" t="str">
        <x:v>Wired + proximity charging demo</x:v>
      </x:c>
      <x:c r="I6" s="24" t="str">
        <x:v>4</x:v>
      </x:c>
      <x:c r="J6" s="24" t="str">
        <x:v>Rover, EVA batteries, comms, lights</x:v>
      </x:c>
      <x:c r="K6" s="24" t="str">
        <x:v>Full node health + charger alignment</x:v>
      </x:c>
      <x:c r="L6" s="24" t="str">
        <x:v>Local breaker + trunk isolation</x:v>
      </x:c>
      <x:c r="M6" s="24" t="str">
        <x:v>4</x:v>
      </x:c>
      <x:c r="N6" s="24" t="str">
        <x:v>2031–2032</x:v>
      </x:c>
      <x:c r="O6" s="24" t="str">
        <x:v>Designed around rover turnaround workflow</x:v>
      </x:c>
      <x:c r="P6" s="24" t="str">
        <x:v>4 standard bricks; 120/48/28 VDC service</x:v>
      </x:c>
    </x:row>
    <x:row r="7">
      <x:c r="A7" s="24" t="str">
        <x:v>UN-04</x:v>
      </x:c>
      <x:c r="B7" s="24" t="str">
        <x:v>Habitat critical node</x:v>
      </x:c>
      <x:c r="C7" s="24" t="str">
        <x:v>Habitat cluster</x:v>
      </x:c>
      <x:c r="D7" s="24" t="str">
        <x:v>120/28 VDC</x:v>
      </x:c>
      <x:c r="E7" s="24" t="str">
        <x:v>HV TBD</x:v>
      </x:c>
      <x:c r="F7" s="64" t="n">
        <x:v>25</x:v>
      </x:c>
      <x:c r="G7" s="64" t="n">
        <x:v>200</x:v>
      </x:c>
      <x:c r="H7" s="24" t="str">
        <x:v>Service port</x:v>
      </x:c>
      <x:c r="I7" s="24" t="str">
        <x:v>6</x:v>
      </x:c>
      <x:c r="J7" s="24" t="str">
        <x:v>ECLSS, thermal, C&amp;DH, comms</x:v>
      </x:c>
      <x:c r="K7" s="24" t="str">
        <x:v>Critical-grade telemetry</x:v>
      </x:c>
      <x:c r="L7" s="24" t="str">
        <x:v>N+1 source path goal</x:v>
      </x:c>
      <x:c r="M7" s="24" t="str">
        <x:v>6</x:v>
      </x:c>
      <x:c r="N7" s="24" t="str">
        <x:v>2032–2033</x:v>
      </x:c>
      <x:c r="O7" s="24" t="str">
        <x:v>Load-shed discretionary branches before critical habitat loads</x:v>
      </x:c>
      <x:c r="P7" s="24" t="str">
        <x:v>5 active + 1 spare 5 kW brick target; N+1 crew-critical</x:v>
      </x:c>
    </x:row>
    <x:row r="8">
      <x:c r="A8" s="24" t="str">
        <x:v>UN-05</x:v>
      </x:c>
      <x:c r="B8" s="24" t="str">
        <x:v>Plant / science node</x:v>
      </x:c>
      <x:c r="C8" s="24" t="str">
        <x:v>Plant module / lab</x:v>
      </x:c>
      <x:c r="D8" s="24" t="str">
        <x:v>120 VDC</x:v>
      </x:c>
      <x:c r="E8" s="24" t="str">
        <x:v>HV TBD</x:v>
      </x:c>
      <x:c r="F8" s="64" t="n">
        <x:v>20</x:v>
      </x:c>
      <x:c r="G8" s="64" t="n">
        <x:v>100</x:v>
      </x:c>
      <x:c r="H8" s="24" t="str">
        <x:v>Utility/service port</x:v>
      </x:c>
      <x:c r="I8" s="24" t="str">
        <x:v>4</x:v>
      </x:c>
      <x:c r="J8" s="24" t="str">
        <x:v>Plant pumps, controls, LEDs, lab</x:v>
      </x:c>
      <x:c r="K8" s="24" t="str">
        <x:v>Crop + power telemetry</x:v>
      </x:c>
      <x:c r="L8" s="24" t="str">
        <x:v>Separate lighting and life-support branches</x:v>
      </x:c>
      <x:c r="M8" s="24" t="str">
        <x:v>6</x:v>
      </x:c>
      <x:c r="N8" s="24" t="str">
        <x:v>2033+</x:v>
      </x:c>
      <x:c r="O8" s="24" t="str">
        <x:v>Crop lighting can shed while pumps/thermal remain powered</x:v>
      </x:c>
      <x:c r="P8" s="24" t="str">
        <x:v>3–4 standard bricks; crop lighting shed before pumps/controls</x:v>
      </x:c>
    </x:row>
    <x:row r="9">
      <x:c r="A9" s="24" t="str">
        <x:v>UN-06</x:v>
      </x:c>
      <x:c r="B9" s="24" t="str">
        <x:v>ISRU / construction node</x:v>
      </x:c>
      <x:c r="C9" s="24" t="str">
        <x:v>Remote industrial area</x:v>
      </x:c>
      <x:c r="D9" s="24" t="str">
        <x:v>120 VDC local</x:v>
      </x:c>
      <x:c r="E9" s="24" t="str">
        <x:v>HV TBD</x:v>
      </x:c>
      <x:c r="F9" s="64" t="n">
        <x:v>30</x:v>
      </x:c>
      <x:c r="G9" s="64" t="n">
        <x:v>200</x:v>
      </x:c>
      <x:c r="H9" s="24" t="str">
        <x:v>Heavy-service port</x:v>
      </x:c>
      <x:c r="I9" s="24" t="str">
        <x:v>4</x:v>
      </x:c>
      <x:c r="J9" s="24" t="str">
        <x:v>Excavation, processing, construction</x:v>
      </x:c>
      <x:c r="K9" s="24" t="str">
        <x:v>Thermal + feeder current emphasis</x:v>
      </x:c>
      <x:c r="L9" s="24" t="str">
        <x:v>Aggressive remote isolation</x:v>
      </x:c>
      <x:c r="M9" s="24" t="str">
        <x:v>8</x:v>
      </x:c>
      <x:c r="N9" s="24" t="str">
        <x:v>2034+</x:v>
      </x:c>
      <x:c r="O9" s="24" t="str">
        <x:v>High duty-cycle industrial loads should be geographically and electrically separable</x:v>
      </x:c>
      <x:c r="P9" s="24" t="str">
        <x:v>6–8 standard bricks; isolate industrial faults from settlement bus</x:v>
      </x:c>
    </x:row>
  </x:sheetData>
  <x:mergeCells>
    <x:mergeCell ref="A1:O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8" hidden="0" customWidth="1"/>
    <x:col min="5" max="5" width="16" hidden="0" customWidth="1"/>
    <x:col min="6" max="6" width="28" hidden="0" customWidth="1"/>
    <x:col min="7" max="7" width="26" hidden="0" customWidth="1"/>
    <x:col min="8" max="8" width="40" hidden="0" customWidth="1"/>
    <x:col min="9" max="9" width="34" hidden="0" customWidth="1"/>
    <x:col min="10" max="10" width="38" hidden="0" customWidth="1"/>
    <x:col min="11" max="11" width="12" hidden="0" customWidth="1"/>
    <x:col min="12" max="12" width="14" hidden="0" customWidth="1"/>
    <x:col min="13" max="13" width="30" hidden="0" customWidth="1"/>
    <x:col min="14" max="14" width="34" hidden="0" customWidth="1"/>
  </x:cols>
  <x:sheetData>
    <x:row r="1" ht="28" customHeight="1">
      <x:c r="A1" s="58" t="str">
        <x:v>Lunar Utility Umbilicals and Vehicle Charging Roadmap</x:v>
      </x:c>
    </x:row>
    <x:row r="3">
      <x:c r="A3" s="63" t="str">
        <x:v>Item</x:v>
      </x:c>
      <x:c r="B3" s="63" t="str">
        <x:v>Near-Term Function</x:v>
      </x:c>
      <x:c r="C3" s="63" t="str">
        <x:v>Initial Method</x:v>
      </x:c>
      <x:c r="D3" s="63" t="str">
        <x:v>Later Method</x:v>
      </x:c>
      <x:c r="E3" s="63" t="str">
        <x:v>Power Class</x:v>
      </x:c>
      <x:c r="F3" s="63" t="str">
        <x:v>Key Environment</x:v>
      </x:c>
      <x:c r="G3" s="63" t="str">
        <x:v>Required Sensing</x:v>
      </x:c>
      <x:c r="H3" s="63" t="str">
        <x:v>Materials / Construction Concept</x:v>
      </x:c>
      <x:c r="I3" s="63" t="str">
        <x:v>Failure Mode to Design Out</x:v>
      </x:c>
      <x:c r="J3" s="63" t="str">
        <x:v>Test Sequence</x:v>
      </x:c>
      <x:c r="K3" s="63" t="str">
        <x:v>Target TRL</x:v>
      </x:c>
      <x:c r="L3" s="63" t="str">
        <x:v>Timing</x:v>
      </x:c>
      <x:c r="M3" s="63" t="str">
        <x:v>Supply / Spare Need</x:v>
      </x:c>
      <x:c r="N3" s="63" t="str">
        <x:v>Notes</x:v>
      </x:c>
    </x:row>
    <x:row r="4">
      <x:c r="A4" s="24" t="str">
        <x:v>Drive-up rover charger</x:v>
      </x:c>
      <x:c r="B4" s="24" t="str">
        <x:v>Recharge + diagnostics</x:v>
      </x:c>
      <x:c r="C4" s="24" t="str">
        <x:v>Mechanically indexed conductive umbilical</x:v>
      </x:c>
      <x:c r="D4" s="24" t="str">
        <x:v>Wireless/proximity charging after dust/alignment validation</x:v>
      </x:c>
      <x:c r="E4" s="24" t="str">
        <x:v>6–20 kW</x:v>
      </x:c>
      <x:c r="F4" s="24" t="str">
        <x:v>Dust, vacuum, thermal cycling, vehicle misalignment</x:v>
      </x:c>
      <x:c r="G4" s="24" t="str">
        <x:v>Contact temp, resistance, latch, dust, current</x:v>
      </x:c>
      <x:c r="H4" s="24" t="str">
        <x:v>Wrapped thermal/abrasion jacket; protected connector face; strain relief</x:v>
      </x:c>
      <x:c r="I4" s="24" t="str">
        <x:v>Arcing/high resistance from contaminated contacts</x:v>
      </x:c>
      <x:c r="J4" s="24" t="str">
        <x:v>Thermal-vac -&gt; regolith cycling -&gt; robotic mate/de-mate -&gt; lunar demo</x:v>
      </x:c>
      <x:c r="K4" s="24" t="n">
        <x:v>5</x:v>
      </x:c>
      <x:c r="L4" s="24" t="str">
        <x:v>2028–2032</x:v>
      </x:c>
      <x:c r="M4" s="24" t="str">
        <x:v>Connector caps, contact cartridges, cable sections</x:v>
      </x:c>
      <x:c r="N4" s="24" t="str">
        <x:v>NASA catalog lists ultra-fast proximity charging at TRL 5</x:v>
      </x:c>
    </x:row>
    <x:row r="5">
      <x:c r="A5" s="24" t="str">
        <x:v>Habitat utility umbilical</x:v>
      </x:c>
      <x:c r="B5" s="24" t="str">
        <x:v>Power + data; later fluids</x:v>
      </x:c>
      <x:c r="C5" s="24" t="str">
        <x:v>Physical multi-service umbilical</x:v>
      </x:c>
      <x:c r="D5" s="24" t="str">
        <x:v>Automated dust-tolerant mate</x:v>
      </x:c>
      <x:c r="E5" s="24" t="str">
        <x:v>6–20 kW plus data</x:v>
      </x:c>
      <x:c r="F5" s="24" t="str">
        <x:v>Dust ingress, repeated EVA handling</x:v>
      </x:c>
      <x:c r="G5" s="24" t="str">
        <x:v>V/I/T, insulation resistance, latch status</x:v>
      </x:c>
      <x:c r="H5" s="24" t="str">
        <x:v>Outer sacrificial jacket; thermal layer; abrasion protection; fiber/data core</x:v>
      </x:c>
      <x:c r="I5" s="24" t="str">
        <x:v>Connector damage / insulation cracking / dust bridging</x:v>
      </x:c>
      <x:c r="J5" s="24" t="str">
        <x:v>Bend-cycle + thermal-vac + abrasive dust + fault testing</x:v>
      </x:c>
      <x:c r="K5" s="24" t="n">
        <x:v>4</x:v>
      </x:c>
      <x:c r="L5" s="24" t="str">
        <x:v>2028–2033</x:v>
      </x:c>
      <x:c r="M5" s="24" t="str">
        <x:v>Spare connector heads, jackets, strain-relief parts</x:v>
      </x:c>
      <x:c r="N5" s="24" t="str">
        <x:v>NASA DTAU is TRL 4 for power/fluid transfer</x:v>
      </x:c>
    </x:row>
    <x:row r="6">
      <x:c r="A6" s="24" t="str">
        <x:v>HV feeder umbilical</x:v>
      </x:c>
      <x:c r="B6" s="24" t="str">
        <x:v>Node-to-node power transmission</x:v>
      </x:c>
      <x:c r="C6" s="24" t="str">
        <x:v>Deployable cable reel</x:v>
      </x:c>
      <x:c r="D6" s="24" t="str">
        <x:v>Robotic re-route / self-deploying segment</x:v>
      </x:c>
      <x:c r="E6" s="24" t="str">
        <x:v>10–40+ kW</x:v>
      </x:c>
      <x:c r="F6" s="24" t="str">
        <x:v>Regolith abrasion, surface plasma, thermal gradients</x:v>
      </x:c>
      <x:c r="G6" s="24" t="str">
        <x:v>Current, distributed temp, leakage, insulation health</x:v>
      </x:c>
      <x:c r="H6" s="24" t="str">
        <x:v>Low-mass HV cable with dust-tolerant interfaces</x:v>
      </x:c>
      <x:c r="I6" s="24" t="str">
        <x:v>Hot spot / dielectric breakdown / rover damage</x:v>
      </x:c>
      <x:c r="J6" s="24" t="str">
        <x:v>Cable reel demo -&gt; buried/exposed trade -&gt; lunar validation</x:v>
      </x:c>
      <x:c r="K6" s="24" t="n">
        <x:v>5</x:v>
      </x:c>
      <x:c r="L6" s="24" t="str">
        <x:v>2026–2032</x:v>
      </x:c>
      <x:c r="M6" s="24" t="str">
        <x:v>Reel cartridges, splice kits, converter modules</x:v>
      </x:c>
      <x:c r="N6" s="24" t="str">
        <x:v>NASA MIPS cable TRL 5; Astrobotic HV cable TRL 6</x:v>
      </x:c>
    </x:row>
    <x:row r="7">
      <x:c r="A7" s="24" t="str">
        <x:v>Wireless charging pad</x:v>
      </x:c>
      <x:c r="B7" s="24" t="str">
        <x:v>Routine rover turnaround</x:v>
      </x:c>
      <x:c r="C7" s="24" t="str">
        <x:v>Not baseline initially</x:v>
      </x:c>
      <x:c r="D7" s="24" t="str">
        <x:v>Resonant/proximity inductive</x:v>
      </x:c>
      <x:c r="E7" s="24" t="str">
        <x:v>5–20 kW</x:v>
      </x:c>
      <x:c r="F7" s="24" t="str">
        <x:v>Regolith layer, coil alignment, EMI, coil heating</x:v>
      </x:c>
      <x:c r="G7" s="24" t="str">
        <x:v>Coupling, coil temp, foreign-object detection</x:v>
      </x:c>
      <x:c r="H7" s="24" t="str">
        <x:v>Sealed coils below replaceable wear surface</x:v>
      </x:c>
      <x:c r="I7" s="24" t="str">
        <x:v>Low efficiency or local heating from dust/metallic debris</x:v>
      </x:c>
      <x:c r="J7" s="24" t="str">
        <x:v>Bench dust layers -&gt; alignment sweep -&gt; thermal-vac -&gt; field demo</x:v>
      </x:c>
      <x:c r="K7" s="24" t="n">
        <x:v>5</x:v>
      </x:c>
      <x:c r="L7" s="24" t="str">
        <x:v>2030+</x:v>
      </x:c>
      <x:c r="M7" s="24" t="str">
        <x:v>Replaceable pad surface, coil electronics</x:v>
      </x:c>
      <x:c r="N7" s="24" t="str">
        <x:v>Use only after surface contamination data is available</x:v>
      </x:c>
    </x:row>
  </x:sheetData>
  <x:mergeCells>
    <x:mergeCell ref="A1:N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20" hidden="0" customWidth="1"/>
    <x:col min="10" max="10" width="14" hidden="0" customWidth="1"/>
    <x:col min="11" max="11" width="18" hidden="0" customWidth="1"/>
    <x:col min="12" max="12" width="24" hidden="0" customWidth="1"/>
    <x:col min="13" max="13" width="16" hidden="0" customWidth="1"/>
    <x:col min="14" max="14" width="14" hidden="0" customWidth="1"/>
    <x:col min="15" max="15" width="38" hidden="0" customWidth="1"/>
    <x:col min="16" max="16" width="38" hidden="0" customWidth="1"/>
  </x:cols>
  <x:sheetData>
    <x:row r="1" ht="28" customHeight="1">
      <x:c r="A1" s="58" t="str">
        <x:v>Distributed Solar Concentrator Towers — Operational Control and Mass Trades</x:v>
      </x:c>
    </x:row>
    <x:row r="3">
      <x:c r="A3" s="63" t="str">
        <x:v>Tower ID</x:v>
      </x:c>
      <x:c r="B3" s="63" t="str">
        <x:v>Primary User</x:v>
      </x:c>
      <x:c r="C3" s="63" t="str">
        <x:v>Optical Role</x:v>
      </x:c>
      <x:c r="D3" s="63" t="str">
        <x:v>Nominal Optical kW</x:v>
      </x:c>
      <x:c r="E3" s="63" t="str">
        <x:v>Electric Actuator W</x:v>
      </x:c>
      <x:c r="F3" s="63" t="str">
        <x:v>Local Battery Wh</x:v>
      </x:c>
      <x:c r="G3" s="63" t="str">
        <x:v>Azimuth</x:v>
      </x:c>
      <x:c r="H3" s="63" t="str">
        <x:v>Elevation</x:v>
      </x:c>
      <x:c r="I3" s="63" t="str">
        <x:v>Shutter / Defocus</x:v>
      </x:c>
      <x:c r="J3" s="63" t="str">
        <x:v>Sun Sensor</x:v>
      </x:c>
      <x:c r="K3" s="63" t="str">
        <x:v>Absolute Encoder</x:v>
      </x:c>
      <x:c r="L3" s="63" t="str">
        <x:v>Safe State</x:v>
      </x:c>
      <x:c r="M3" s="63" t="str">
        <x:v>Mass Budget kg</x:v>
      </x:c>
      <x:c r="N3" s="63" t="str">
        <x:v>Timing</x:v>
      </x:c>
      <x:c r="O3" s="63" t="str">
        <x:v>Control Requirement</x:v>
      </x:c>
      <x:c r="P3" s="63" t="str">
        <x:v>Failure / Maintenance Focus</x:v>
      </x:c>
    </x:row>
    <x:row r="4">
      <x:c r="A4" s="24" t="str">
        <x:v>ST-01</x:v>
      </x:c>
      <x:c r="B4" s="24" t="str">
        <x:v>Plant Module 01</x:v>
      </x:c>
      <x:c r="C4" s="24" t="str">
        <x:v>Direct/pipe concentrated sunlight</x:v>
      </x:c>
      <x:c r="D4" s="64" t="n">
        <x:v>5</x:v>
      </x:c>
      <x:c r="E4" s="64" t="n">
        <x:v>100</x:v>
      </x:c>
      <x:c r="F4" s="64" t="n">
        <x:v>500</x:v>
      </x:c>
      <x:c r="G4" s="24" t="str">
        <x:v>Yes</x:v>
      </x:c>
      <x:c r="H4" s="24" t="str">
        <x:v>Yes</x:v>
      </x:c>
      <x:c r="I4" s="24" t="str">
        <x:v>Required</x:v>
      </x:c>
      <x:c r="J4" s="24" t="str">
        <x:v>Required</x:v>
      </x:c>
      <x:c r="K4" s="24" t="str">
        <x:v>Required</x:v>
      </x:c>
      <x:c r="L4" s="24" t="str">
        <x:v>Defocused + shutter closed</x:v>
      </x:c>
      <x:c r="M4" s="64" t="n">
        <x:v>150</x:v>
      </x:c>
      <x:c r="N4" s="24" t="str">
        <x:v>2033+</x:v>
      </x:c>
      <x:c r="O4" s="24" t="str">
        <x:v>Autonomous sun track; verified target lock before opening optic</x:v>
      </x:c>
      <x:c r="P4" s="24" t="str">
        <x:v>Dust on reflector, actuator stall, bearing lubrication, thermal distortion</x:v>
      </x:c>
    </x:row>
    <x:row r="5">
      <x:c r="A5" s="24" t="str">
        <x:v>ST-02</x:v>
      </x:c>
      <x:c r="B5" s="24" t="str">
        <x:v>Habitat thermal / plant backup</x:v>
      </x:c>
      <x:c r="C5" s="24" t="str">
        <x:v>Heating + plant backup</x:v>
      </x:c>
      <x:c r="D5" s="64" t="n">
        <x:v>5</x:v>
      </x:c>
      <x:c r="E5" s="64" t="n">
        <x:v>100</x:v>
      </x:c>
      <x:c r="F5" s="64" t="n">
        <x:v>500</x:v>
      </x:c>
      <x:c r="G5" s="24" t="str">
        <x:v>Yes</x:v>
      </x:c>
      <x:c r="H5" s="24" t="str">
        <x:v>Yes</x:v>
      </x:c>
      <x:c r="I5" s="24" t="str">
        <x:v>Required</x:v>
      </x:c>
      <x:c r="J5" s="24" t="str">
        <x:v>Required</x:v>
      </x:c>
      <x:c r="K5" s="24" t="str">
        <x:v>Required</x:v>
      </x:c>
      <x:c r="L5" s="24" t="str">
        <x:v>Defocused + shutter closed</x:v>
      </x:c>
      <x:c r="M5" s="64" t="n">
        <x:v>150</x:v>
      </x:c>
      <x:c r="N5" s="24" t="str">
        <x:v>2033+</x:v>
      </x:c>
      <x:c r="O5" s="24" t="str">
        <x:v>Time-share target schedule with exclusion zones</x:v>
      </x:c>
      <x:c r="P5" s="24" t="str">
        <x:v>Mispointing toward habitat skin or EVA corridor</x:v>
      </x:c>
    </x:row>
    <x:row r="6">
      <x:c r="A6" s="24" t="str">
        <x:v>ST-03</x:v>
      </x:c>
      <x:c r="B6" s="24" t="str">
        <x:v>Plant Expansion</x:v>
      </x:c>
      <x:c r="C6" s="24" t="str">
        <x:v>Crop-light augmentation</x:v>
      </x:c>
      <x:c r="D6" s="64" t="n">
        <x:v>10</x:v>
      </x:c>
      <x:c r="E6" s="64" t="n">
        <x:v>150</x:v>
      </x:c>
      <x:c r="F6" s="64" t="n">
        <x:v>750</x:v>
      </x:c>
      <x:c r="G6" s="24" t="str">
        <x:v>Yes</x:v>
      </x:c>
      <x:c r="H6" s="24" t="str">
        <x:v>Yes</x:v>
      </x:c>
      <x:c r="I6" s="24" t="str">
        <x:v>Required</x:v>
      </x:c>
      <x:c r="J6" s="24" t="str">
        <x:v>Required</x:v>
      </x:c>
      <x:c r="K6" s="24" t="str">
        <x:v>Required</x:v>
      </x:c>
      <x:c r="L6" s="24" t="str">
        <x:v>Defocused + shutter closed</x:v>
      </x:c>
      <x:c r="M6" s="64" t="n">
        <x:v>250</x:v>
      </x:c>
      <x:c r="N6" s="24" t="str">
        <x:v>2034+</x:v>
      </x:c>
      <x:c r="O6" s="24" t="str">
        <x:v>Coordinated dispatch with microgrid EMS and crop lighting schedule</x:v>
      </x:c>
      <x:c r="P6" s="24" t="str">
        <x:v>Actuator duty-cycle and reflector degradation</x:v>
      </x:c>
    </x:row>
    <x:row r="7">
      <x:c r="A7" s="24" t="str">
        <x:v>ST-04</x:v>
      </x:c>
      <x:c r="B7" s="24" t="str">
        <x:v>Industrial thermal user</x:v>
      </x:c>
      <x:c r="C7" s="24" t="str">
        <x:v>Process heat / ISRU assist</x:v>
      </x:c>
      <x:c r="D7" s="64" t="n">
        <x:v>10</x:v>
      </x:c>
      <x:c r="E7" s="64" t="n">
        <x:v>150</x:v>
      </x:c>
      <x:c r="F7" s="64" t="n">
        <x:v>750</x:v>
      </x:c>
      <x:c r="G7" s="24" t="str">
        <x:v>Yes</x:v>
      </x:c>
      <x:c r="H7" s="24" t="str">
        <x:v>Yes</x:v>
      </x:c>
      <x:c r="I7" s="24" t="str">
        <x:v>Required</x:v>
      </x:c>
      <x:c r="J7" s="24" t="str">
        <x:v>Required</x:v>
      </x:c>
      <x:c r="K7" s="24" t="str">
        <x:v>Required</x:v>
      </x:c>
      <x:c r="L7" s="24" t="str">
        <x:v>Defocused + shutter closed</x:v>
      </x:c>
      <x:c r="M7" s="64" t="n">
        <x:v>250</x:v>
      </x:c>
      <x:c r="N7" s="24" t="str">
        <x:v>2034+</x:v>
      </x:c>
      <x:c r="O7" s="24" t="str">
        <x:v>Hard interlocks with personnel keep-out and process receiver state</x:v>
      </x:c>
      <x:c r="P7" s="24" t="str">
        <x:v>High flux, target loss, thermal shock</x:v>
      </x:c>
    </x:row>
    <x:row r="9">
      <x:c r="A9" s="63" t="str">
        <x:v>Control law principle</x:v>
      </x:c>
      <x:c r="B9" s="63" t="str"/>
      <x:c r="C9" s="63" t="str"/>
      <x:c r="D9" s="63" t="str"/>
      <x:c r="E9" s="63" t="str"/>
      <x:c r="F9" s="63" t="str"/>
      <x:c r="G9" s="63" t="str"/>
      <x:c r="H9" s="63" t="str"/>
      <x:c r="I9" s="63" t="str"/>
      <x:c r="J9" s="63" t="str"/>
      <x:c r="K9" s="63" t="str"/>
      <x:c r="L9" s="63" t="str"/>
      <x:c r="M9" s="63" t="str"/>
      <x:c r="N9" s="63" t="str"/>
      <x:c r="O9" s="63" t="str"/>
      <x:c r="P9" s="63" t="str"/>
    </x:row>
    <x:row r="10">
      <x:c r="A10" s="24" t="str">
        <x:v>No verified receiver / target state -&gt; optical path remains closed or deliberately defocused.</x:v>
      </x:c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</x:row>
    <x:row r="11">
      <x:c r="A11" s="24" t="str">
        <x:v>Tower controller must retain enough local energy to reach safe state after loss of grid power or communications.</x:v>
      </x:c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</x:row>
    <x:row r="12">
      <x:c r="A12" s="24" t="str">
        <x:v>Central EMS schedules optical demand, but local tower controller owns the final safety interlock and defocus action.</x:v>
      </x:c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</x:row>
    <x:row r="13">
      <x:c r="A13" s="24" t="str">
        <x:v>Reflector area and support structure should be sized by delivered optical power per landed kilogram, not by maximum aperture alone.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</x:row>
  </x:sheetData>
  <x:mergeCells>
    <x:mergeCell ref="A1:P1"/>
    <x:mergeCell ref="A10:P10"/>
    <x:mergeCell ref="A11:P11"/>
    <x:mergeCell ref="A12:P12"/>
    <x:mergeCell ref="A13:P1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28" hidden="0" customWidth="1"/>
    <x:col min="9" max="9" width="14" hidden="0" customWidth="1"/>
    <x:col min="10" max="10" width="34" hidden="0" customWidth="1"/>
    <x:col min="11" max="11" width="24" hidden="0" customWidth="1"/>
    <x:col min="12" max="12" width="18" hidden="0" customWidth="1"/>
    <x:col min="13" max="13" width="42" hidden="0" customWidth="1"/>
  </x:cols>
  <x:sheetData>
    <x:row r="1" ht="28" customHeight="1">
      <x:c r="A1" s="58" t="str">
        <x:v>Power-System Logistics and Expected Supply Demand</x:v>
      </x:c>
    </x:row>
    <x:row r="3">
      <x:c r="A3" s="63" t="str">
        <x:v>Supply Class</x:v>
      </x:c>
      <x:c r="B3" s="63" t="str">
        <x:v>Planning Driver</x:v>
      </x:c>
      <x:c r="C3" s="63" t="str">
        <x:v>Annual Low kg</x:v>
      </x:c>
      <x:c r="D3" s="63" t="str">
        <x:v>Annual Nom kg</x:v>
      </x:c>
      <x:c r="E3" s="63" t="str">
        <x:v>Annual High kg</x:v>
      </x:c>
      <x:c r="F3" s="63" t="str">
        <x:v>Criticality</x:v>
      </x:c>
      <x:c r="G3" s="63" t="str">
        <x:v>Shelf / Storage Issue</x:v>
      </x:c>
      <x:c r="H3" s="63" t="str">
        <x:v>Primary Consumer</x:v>
      </x:c>
      <x:c r="I3" s="63" t="str">
        <x:v>Preposition?</x:v>
      </x:c>
      <x:c r="J3" s="63" t="str">
        <x:v>Spares Philosophy</x:v>
      </x:c>
      <x:c r="K3" s="63" t="str">
        <x:v>Local Manufacture Potential</x:v>
      </x:c>
      <x:c r="L3" s="63" t="str">
        <x:v>Timing</x:v>
      </x:c>
      <x:c r="M3" s="63" t="str">
        <x:v>Source / Basis</x:v>
      </x:c>
    </x:row>
    <x:row r="4">
      <x:c r="A4" s="24" t="str">
        <x:v>Electrical spares &amp; PMAD modules</x:v>
      </x:c>
      <x:c r="B4" s="24" t="str">
        <x:v>Node count / converter failures</x:v>
      </x:c>
      <x:c r="C4" s="64" t="n">
        <x:v>150</x:v>
      </x:c>
      <x:c r="D4" s="64" t="n">
        <x:v>300</x:v>
      </x:c>
      <x:c r="E4" s="64" t="n">
        <x:v>600</x:v>
      </x:c>
      <x:c r="F4" s="24" t="str">
        <x:v>High</x:v>
      </x:c>
      <x:c r="G4" s="24" t="str">
        <x:v>Radiation + thermal storage</x:v>
      </x:c>
      <x:c r="H4" s="24" t="str">
        <x:v>All utility nodes</x:v>
      </x:c>
      <x:c r="I4" s="24" t="str">
        <x:v>Yes</x:v>
      </x:c>
      <x:c r="J4" s="24" t="str">
        <x:v>LRU swap; 1 critical spare per class</x:v>
      </x:c>
      <x:c r="K4" s="24" t="str">
        <x:v>Medium later</x:v>
      </x:c>
      <x:c r="L4" s="24" t="str">
        <x:v>From first node onward</x:v>
      </x:c>
      <x:c r="M4" s="24" t="str">
        <x:v>Engineering allocation within NASA recurring cargo envelope</x:v>
      </x:c>
    </x:row>
    <x:row r="5">
      <x:c r="A5" s="24" t="str">
        <x:v>Cable / connector spares</x:v>
      </x:c>
      <x:c r="B5" s="24" t="str">
        <x:v>Route length / damage rate</x:v>
      </x:c>
      <x:c r="C5" s="64" t="n">
        <x:v>200</x:v>
      </x:c>
      <x:c r="D5" s="64" t="n">
        <x:v>500</x:v>
      </x:c>
      <x:c r="E5" s="64" t="n">
        <x:v>1200</x:v>
      </x:c>
      <x:c r="F5" s="24" t="str">
        <x:v>High</x:v>
      </x:c>
      <x:c r="G5" s="24" t="str">
        <x:v>Keep connector faces sealed</x:v>
      </x:c>
      <x:c r="H5" s="24" t="str">
        <x:v>Grid feeders / service points</x:v>
      </x:c>
      <x:c r="I5" s="24" t="str">
        <x:v>Yes</x:v>
      </x:c>
      <x:c r="J5" s="24" t="str">
        <x:v>Segmented replaceable lengths + connector cartridges</x:v>
      </x:c>
      <x:c r="K5" s="24" t="str">
        <x:v>High for jackets; low for conductors initially</x:v>
      </x:c>
      <x:c r="L5" s="24" t="str">
        <x:v>From first cable deployment</x:v>
      </x:c>
      <x:c r="M5" s="24" t="str">
        <x:v>Engineering allocation</x:v>
      </x:c>
    </x:row>
    <x:row r="6">
      <x:c r="A6" s="24" t="str">
        <x:v>Battery modules</x:v>
      </x:c>
      <x:c r="B6" s="24" t="str">
        <x:v>Cycle life / cold soak / growth</x:v>
      </x:c>
      <x:c r="C6" s="64" t="n">
        <x:v>250</x:v>
      </x:c>
      <x:c r="D6" s="64" t="n">
        <x:v>750</x:v>
      </x:c>
      <x:c r="E6" s="64" t="n">
        <x:v>1500</x:v>
      </x:c>
      <x:c r="F6" s="24" t="str">
        <x:v>High</x:v>
      </x:c>
      <x:c r="G6" s="24" t="str">
        <x:v>Thermal conditioning</x:v>
      </x:c>
      <x:c r="H6" s="24" t="str">
        <x:v>Nodes, rover service, towers</x:v>
      </x:c>
      <x:c r="I6" s="24" t="str">
        <x:v>Yes</x:v>
      </x:c>
      <x:c r="J6" s="24" t="str">
        <x:v>Modular pack replacement rather than monolithic battery</x:v>
      </x:c>
      <x:c r="K6" s="24" t="str">
        <x:v>Low initially</x:v>
      </x:c>
      <x:c r="L6" s="24" t="str">
        <x:v>Annual / as-needed</x:v>
      </x:c>
      <x:c r="M6" s="24" t="str">
        <x:v>Engineering allocation</x:v>
      </x:c>
    </x:row>
    <x:row r="7">
      <x:c r="A7" s="24" t="str">
        <x:v>Actuators / bearings / encoders</x:v>
      </x:c>
      <x:c r="B7" s="24" t="str">
        <x:v>Tower count + duty cycle</x:v>
      </x:c>
      <x:c r="C7" s="64" t="n">
        <x:v>50</x:v>
      </x:c>
      <x:c r="D7" s="64" t="n">
        <x:v>150</x:v>
      </x:c>
      <x:c r="E7" s="64" t="n">
        <x:v>300</x:v>
      </x:c>
      <x:c r="F7" s="24" t="str">
        <x:v>Medium-High</x:v>
      </x:c>
      <x:c r="G7" s="24" t="str">
        <x:v>Lubricant / seal compatibility</x:v>
      </x:c>
      <x:c r="H7" s="24" t="str">
        <x:v>Solar concentrator towers</x:v>
      </x:c>
      <x:c r="I7" s="24" t="str">
        <x:v>Yes</x:v>
      </x:c>
      <x:c r="J7" s="24" t="str">
        <x:v>Common actuator family; spare motor/gearbox/encoder kits</x:v>
      </x:c>
      <x:c r="K7" s="24" t="str">
        <x:v>Medium</x:v>
      </x:c>
      <x:c r="L7" s="24" t="str">
        <x:v>Before optical tower deployment</x:v>
      </x:c>
      <x:c r="M7" s="24" t="str">
        <x:v>Engineering allocation</x:v>
      </x:c>
    </x:row>
    <x:row r="8">
      <x:c r="A8" s="24" t="str">
        <x:v>Dust-control / seals / covers</x:v>
      </x:c>
      <x:c r="B8" s="24" t="str">
        <x:v>Exposure / mate cycles</x:v>
      </x:c>
      <x:c r="C8" s="64" t="n">
        <x:v>50</x:v>
      </x:c>
      <x:c r="D8" s="64" t="n">
        <x:v>150</x:v>
      </x:c>
      <x:c r="E8" s="64" t="n">
        <x:v>400</x:v>
      </x:c>
      <x:c r="F8" s="24" t="str">
        <x:v>High</x:v>
      </x:c>
      <x:c r="G8" s="24" t="str">
        <x:v>Abrasive dust contamination</x:v>
      </x:c>
      <x:c r="H8" s="24" t="str">
        <x:v>Connectors, chargers, optics</x:v>
      </x:c>
      <x:c r="I8" s="24" t="str">
        <x:v>Yes</x:v>
      </x:c>
      <x:c r="J8" s="24" t="str">
        <x:v>Consumable covers + replaceable seals</x:v>
      </x:c>
      <x:c r="K8" s="24" t="str">
        <x:v>High</x:v>
      </x:c>
      <x:c r="L8" s="24" t="str">
        <x:v>Continuous</x:v>
      </x:c>
      <x:c r="M8" s="24" t="str">
        <x:v>Engineering allocation</x:v>
      </x:c>
    </x:row>
    <x:row r="9">
      <x:c r="A9" s="24" t="str">
        <x:v>Optical surfaces / reflector panels</x:v>
      </x:c>
      <x:c r="B9" s="24" t="str">
        <x:v>Degradation / damage</x:v>
      </x:c>
      <x:c r="C9" s="64" t="n">
        <x:v>50</x:v>
      </x:c>
      <x:c r="D9" s="64" t="n">
        <x:v>200</x:v>
      </x:c>
      <x:c r="E9" s="64" t="n">
        <x:v>500</x:v>
      </x:c>
      <x:c r="F9" s="24" t="str">
        <x:v>Medium</x:v>
      </x:c>
      <x:c r="G9" s="24" t="str">
        <x:v>Scratch / contamination</x:v>
      </x:c>
      <x:c r="H9" s="24" t="str">
        <x:v>Solar concentrators</x:v>
      </x:c>
      <x:c r="I9" s="24" t="str">
        <x:v>Some</x:v>
      </x:c>
      <x:c r="J9" s="24" t="str">
        <x:v>Replaceable facet/panel approach</x:v>
      </x:c>
      <x:c r="K9" s="24" t="str">
        <x:v>Medium-High eventually</x:v>
      </x:c>
      <x:c r="L9" s="24" t="str">
        <x:v>2033+</x:v>
      </x:c>
      <x:c r="M9" s="24" t="str">
        <x:v>Engineering allocation</x:v>
      </x:c>
    </x:row>
    <x:row r="10">
      <x:c r="A10" s="24" t="str">
        <x:v>Plant electrical / pump spares</x:v>
      </x:c>
      <x:c r="B10" s="24" t="str">
        <x:v>Crop uptime requirement</x:v>
      </x:c>
      <x:c r="C10" s="64" t="n">
        <x:v>100</x:v>
      </x:c>
      <x:c r="D10" s="64" t="n">
        <x:v>250</x:v>
      </x:c>
      <x:c r="E10" s="64" t="n">
        <x:v>500</x:v>
      </x:c>
      <x:c r="F10" s="24" t="str">
        <x:v>Medium-High</x:v>
      </x:c>
      <x:c r="G10" s="24" t="str">
        <x:v>Clean storage</x:v>
      </x:c>
      <x:c r="H10" s="24" t="str">
        <x:v>Plant module</x:v>
      </x:c>
      <x:c r="I10" s="24" t="str">
        <x:v>Yes</x:v>
      </x:c>
      <x:c r="J10" s="24" t="str">
        <x:v>N+1 pumps, drivers, sensors, LED modules</x:v>
      </x:c>
      <x:c r="K10" s="24" t="str">
        <x:v>Medium</x:v>
      </x:c>
      <x:c r="L10" s="24" t="str">
        <x:v>2033+</x:v>
      </x:c>
      <x:c r="M10" s="24" t="str">
        <x:v>Engineering allocation</x:v>
      </x:c>
    </x:row>
    <x:row r="11">
      <x:c r="A11" s="24" t="str">
        <x:v>General recurring logistics envelope</x:v>
      </x:c>
      <x:c r="B11" s="24" t="str">
        <x:v>NASA Foundational Exploration forecast</x:v>
      </x:c>
      <x:c r="C11" s="64" t="n">
        <x:v>2500</x:v>
      </x:c>
      <x:c r="D11" s="64" t="n">
        <x:v>6250</x:v>
      </x:c>
      <x:c r="E11" s="64" t="n">
        <x:v>10000</x:v>
      </x:c>
      <x:c r="F11" s="24" t="str">
        <x:v>Program-wide</x:v>
      </x:c>
      <x:c r="G11" s="24" t="str">
        <x:v>Mixed</x:v>
      </x:c>
      <x:c r="H11" s="24" t="str">
        <x:v>Whole settlement</x:v>
      </x:c>
      <x:c r="I11" s="24" t="str">
        <x:v>N/A</x:v>
      </x:c>
      <x:c r="J11" s="24" t="str">
        <x:v>Power spares compete with crew consumables, science, maintenance, and other logistics</x:v>
      </x:c>
      <x:c r="K11" s="24" t="str">
        <x:v>Varies</x:v>
      </x:c>
      <x:c r="L11" s="24" t="str">
        <x:v>Foundational Exploration</x:v>
      </x:c>
      <x:c r="M11" s="24" t="str">
        <x:v>NASA cargo white paper</x:v>
      </x:c>
    </x:row>
  </x:sheetData>
  <x:mergeCells>
    <x:mergeCell ref="A1:M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38" hidden="0" customWidth="1"/>
    <x:col min="5" max="5" width="42" hidden="0" customWidth="1"/>
    <x:col min="6" max="6" width="32" hidden="0" customWidth="1"/>
    <x:col min="7" max="7" width="38" hidden="0" customWidth="1"/>
    <x:col min="8" max="8" width="28" hidden="0" customWidth="1"/>
    <x:col min="9" max="9" width="16" hidden="0" customWidth="1"/>
    <x:col min="10" max="10" width="15" hidden="0" customWidth="1"/>
    <x:col min="11" max="11" width="18" hidden="0" customWidth="1"/>
    <x:col min="12" max="12" width="12" hidden="0" customWidth="1"/>
    <x:col min="13" max="13" width="24" hidden="0" customWidth="1"/>
    <x:col min="14" max="14" width="14" hidden="0" customWidth="1"/>
    <x:col min="15" max="15" width="38" hidden="0" customWidth="1"/>
    <x:col min="16" max="16" width="34" hidden="0" customWidth="1"/>
  </x:cols>
  <x:sheetData>
    <x:row r="1" ht="28" customHeight="1">
      <x:c r="A1" s="58" t="str">
        <x:v>Obvious Technology / Function Gaps for a Modular Lunar Power Grid</x:v>
      </x:c>
    </x:row>
    <x:row r="3">
      <x:c r="A3" s="63" t="str">
        <x:v>Gap ID</x:v>
      </x:c>
      <x:c r="B3" s="63" t="str">
        <x:v>Function</x:v>
      </x:c>
      <x:c r="C3" s="63" t="str">
        <x:v>Current Reference / TRL</x:v>
      </x:c>
      <x:c r="D3" s="63" t="str">
        <x:v>Why It Is a Gap</x:v>
      </x:c>
      <x:c r="E3" s="63" t="str">
        <x:v>Needed Enhancement</x:v>
      </x:c>
      <x:c r="F3" s="63" t="str">
        <x:v>Target Capability</x:v>
      </x:c>
      <x:c r="G3" s="63" t="str">
        <x:v>Suggested Test</x:v>
      </x:c>
      <x:c r="H3" s="63" t="str">
        <x:v>Supply Dependency</x:v>
      </x:c>
      <x:c r="I3" s="63" t="str">
        <x:v>Mass Sensitivity</x:v>
      </x:c>
      <x:c r="J3" s="63" t="str">
        <x:v>Crew Critical?</x:v>
      </x:c>
      <x:c r="K3" s="63" t="str">
        <x:v>Earliest Need</x:v>
      </x:c>
      <x:c r="L3" s="63" t="str">
        <x:v>Goal TRL</x:v>
      </x:c>
      <x:c r="M3" s="63" t="str">
        <x:v>Development Owner Type</x:v>
      </x:c>
      <x:c r="N3" s="63" t="str">
        <x:v>Priority</x:v>
      </x:c>
      <x:c r="O3" s="63" t="str">
        <x:v>Source</x:v>
      </x:c>
      <x:c r="P3" s="63" t="str">
        <x:v>Notes</x:v>
      </x:c>
    </x:row>
    <x:row r="4">
      <x:c r="A4" s="24" t="str">
        <x:v>G-01</x:v>
      </x:c>
      <x:c r="B4" s="24" t="str">
        <x:v>Autonomous microgrid energy management</x:v>
      </x:c>
      <x:c r="C4" s="24" t="str">
        <x:v>NASA Advanced Energy Management System — TRL 3</x:v>
      </x:c>
      <x:c r="D4" s="24" t="str">
        <x:v>Distributed sources, batteries, mobile loads and uncrewed periods require autonomous dispatch and fault recovery</x:v>
      </x:c>
      <x:c r="E4" s="24" t="str">
        <x:v>Multi-node EMS with black start, islanding, bidirectional scheduling, graceful load shed and degraded-mode control</x:v>
      </x:c>
      <x:c r="F4" s="24" t="str">
        <x:v>Operate grid for weeks without crew intervention</x:v>
      </x:c>
      <x:c r="G4" s="24" t="str">
        <x:v>Hardware-in-loop 5-node microgrid + injected faults + comm loss</x:v>
      </x:c>
      <x:c r="H4" s="24" t="str">
        <x:v>Controllers, sensors, solid-state switchgear</x:v>
      </x:c>
      <x:c r="I4" s="24" t="str">
        <x:v>Low</x:v>
      </x:c>
      <x:c r="J4" s="24" t="str">
        <x:v>Yes</x:v>
      </x:c>
      <x:c r="K4" s="24" t="str">
        <x:v>Before Node 01/02 network</x:v>
      </x:c>
      <x:c r="L4" s="24" t="n">
        <x:v>6</x:v>
      </x:c>
      <x:c r="M4" s="24" t="str">
        <x:v>NASA/industry/software</x:v>
      </x:c>
      <x:c r="N4" s="24" t="str">
        <x:v>Very High</x:v>
      </x:c>
      <x:c r="O4" s="24" t="str">
        <x:v>https://www.nasa.gov/power/</x:v>
      </x:c>
      <x:c r="P4" s="24" t="str">
        <x:v>Strong LOGIC/COSMIC software opportunity</x:v>
      </x:c>
    </x:row>
    <x:row r="5">
      <x:c r="A5" s="24" t="str">
        <x:v>G-02</x:v>
      </x:c>
      <x:c r="B5" s="24" t="str">
        <x:v>Standard modular DC/DC power conversion / PMAD</x:v>
      </x:c>
      <x:c r="C5" s="24" t="str">
        <x:v>NASA Advanced Modular Power Systems — TRL 4</x:v>
      </x:c>
      <x:c r="D5" s="24" t="str">
        <x:v>Every new lander/module risks unique converters, connectors and spares</x:v>
      </x:c>
      <x:c r="E5" s="24" t="str">
        <x:v>Common isolated DC/DC converter bricks and replaceable PMAD modules across habitat, charger, plant, rover and science loads</x:v>
      </x:c>
      <x:c r="F5" s="24" t="str">
        <x:v>Standard HV-input to 120 VDC local conversion with 48/28 VDC secondary buses; N+1 at critical nodes</x:v>
      </x:c>
      <x:c r="G5" s="24" t="str">
        <x:v>Thermal-vac, radiation, fault and hot-swap testing</x:v>
      </x:c>
      <x:c r="H5" s="24" t="str">
        <x:v>SiC/GaN modules, magnetics, cold plates</x:v>
      </x:c>
      <x:c r="I5" s="24" t="str">
        <x:v>Medium</x:v>
      </x:c>
      <x:c r="J5" s="24" t="str">
        <x:v>Yes</x:v>
      </x:c>
      <x:c r="K5" s="24" t="str">
        <x:v>Early infrastructure</x:v>
      </x:c>
      <x:c r="L5" s="24" t="n">
        <x:v>6</x:v>
      </x:c>
      <x:c r="M5" s="24" t="str">
        <x:v>NASA/industry</x:v>
      </x:c>
      <x:c r="N5" s="24" t="str">
        <x:v>Very High</x:v>
      </x:c>
      <x:c r="O5" s="24" t="str">
        <x:v>https://www.nasa.gov/power/</x:v>
      </x:c>
      <x:c r="P5" s="24" t="str">
        <x:v>Directly reduces logistics burden; treat as the lunar equivalent of distributed neighborhood transformers</x:v>
      </x:c>
    </x:row>
    <x:row r="6">
      <x:c r="A6" s="24" t="str">
        <x:v>G-03</x:v>
      </x:c>
      <x:c r="B6" s="24" t="str">
        <x:v>Dust-tolerant automated utility umbilical</x:v>
      </x:c>
      <x:c r="C6" s="24" t="str">
        <x:v>NASA DTAU — TRL 4</x:v>
      </x:c>
      <x:c r="D6" s="24" t="str">
        <x:v>Repeated crew/robot mating of power/data/fluid connectors in abrasive regolith is a reliability bottleneck</x:v>
      </x:c>
      <x:c r="E6" s="24" t="str">
        <x:v>Self-cleaning / shielded face, robotic alignment, health sensing and replaceable contact cassette</x:v>
      </x:c>
      <x:c r="F6" s="24" t="str">
        <x:v>&gt;1000 mate cycles with lunar dust simulant and thermal-vac</x:v>
      </x:c>
      <x:c r="G6" s="24" t="str">
        <x:v>Automated mate/de-mate endurance campaign</x:v>
      </x:c>
      <x:c r="H6" s="24" t="str">
        <x:v>Connector heads, seals, actuators</x:v>
      </x:c>
      <x:c r="I6" s="24" t="str">
        <x:v>High</x:v>
      </x:c>
      <x:c r="J6" s="24" t="str">
        <x:v>Yes</x:v>
      </x:c>
      <x:c r="K6" s="24" t="str">
        <x:v>Before sustained habitat ops</x:v>
      </x:c>
      <x:c r="L6" s="24" t="n">
        <x:v>6</x:v>
      </x:c>
      <x:c r="M6" s="24" t="str">
        <x:v>NASA/industry</x:v>
      </x:c>
      <x:c r="N6" s="24" t="str">
        <x:v>Very High</x:v>
      </x:c>
      <x:c r="O6" s="24" t="str">
        <x:v>https://www.nasa.gov/power/</x:v>
      </x:c>
      <x:c r="P6" s="24" t="str">
        <x:v>Candidate for re-engineering around service-node concept</x:v>
      </x:c>
    </x:row>
    <x:row r="7">
      <x:c r="A7" s="24" t="str">
        <x:v>G-04</x:v>
      </x:c>
      <x:c r="B7" s="24" t="str">
        <x:v>High-voltage lightweight feeder + field repair</x:v>
      </x:c>
      <x:c r="C7" s="24" t="str">
        <x:v>Astrobotic HV cable TRL 6; MIPS cable TRL 5</x:v>
      </x:c>
      <x:c r="D7" s="24" t="str">
        <x:v>Long routes reduce current but increase dielectric, deployment, damage and repair issues</x:v>
      </x:c>
      <x:c r="E7" s="24" t="str">
        <x:v>Field-spliceable segmented feeder with distributed temperature/leakage sensing and rover-safe protection</x:v>
      </x:c>
      <x:c r="F7" s="24" t="str">
        <x:v>10–40+ kW over km-class routes at acceptable loss/kg</x:v>
      </x:c>
      <x:c r="G7" s="24" t="str">
        <x:v>Thermal-vac + regolith burial/exposure + rover-overrun + splice test</x:v>
      </x:c>
      <x:c r="H7" s="24" t="str">
        <x:v>Cable reels, splice kits, converters</x:v>
      </x:c>
      <x:c r="I7" s="24" t="str">
        <x:v>Very High</x:v>
      </x:c>
      <x:c r="J7" s="24" t="str">
        <x:v>Yes</x:v>
      </x:c>
      <x:c r="K7" s="24" t="str">
        <x:v>Before dispersed settlement</x:v>
      </x:c>
      <x:c r="L7" s="24" t="n">
        <x:v>7</x:v>
      </x:c>
      <x:c r="M7" s="24" t="str">
        <x:v>Industry/NASA</x:v>
      </x:c>
      <x:c r="N7" s="24" t="str">
        <x:v>Very High</x:v>
      </x:c>
      <x:c r="O7" s="24" t="str">
        <x:v>https://www.nasa.gov/power/</x:v>
      </x:c>
      <x:c r="P7" s="24" t="str">
        <x:v>Transmission voltage remains a trade variable</x:v>
      </x:c>
    </x:row>
    <x:row r="8">
      <x:c r="A8" s="24" t="str">
        <x:v>G-05</x:v>
      </x:c>
      <x:c r="B8" s="24" t="str">
        <x:v>Routine wireless vehicle charging</x:v>
      </x:c>
      <x:c r="C8" s="24" t="str">
        <x:v>NASA Ultra Fast Proximity Charging — TRL 5</x:v>
      </x:c>
      <x:c r="D8" s="24" t="str">
        <x:v>Dust layers, alignment, EMI and coil heating can erode efficiency and reliability</x:v>
      </x:c>
      <x:c r="E8" s="24" t="str">
        <x:v>Self-aligning parking geometry, foreign-object detection, adaptive tuning and sealed replaceable pad</x:v>
      </x:c>
      <x:c r="F8" s="24" t="str">
        <x:v>5–20 kW unattended rover charging</x:v>
      </x:c>
      <x:c r="G8" s="24" t="str">
        <x:v>Dust-thickness sweep + misalignment + thermal-vac + EMI test</x:v>
      </x:c>
      <x:c r="H8" s="24" t="str">
        <x:v>Power electronics, coils, wear surfaces</x:v>
      </x:c>
      <x:c r="I8" s="24" t="str">
        <x:v>Medium</x:v>
      </x:c>
      <x:c r="J8" s="24" t="str">
        <x:v>No initially</x:v>
      </x:c>
      <x:c r="K8" s="24" t="str">
        <x:v>After wired charger baseline</x:v>
      </x:c>
      <x:c r="L8" s="24" t="n">
        <x:v>7</x:v>
      </x:c>
      <x:c r="M8" s="24" t="str">
        <x:v>NASA/industry</x:v>
      </x:c>
      <x:c r="N8" s="24" t="str">
        <x:v>High</x:v>
      </x:c>
      <x:c r="O8" s="24" t="str">
        <x:v>https://www.nasa.gov/power/</x:v>
      </x:c>
      <x:c r="P8" s="24" t="str">
        <x:v>Wired umbilical is the early operational baseline</x:v>
      </x:c>
    </x:row>
    <x:row r="9">
      <x:c r="A9" s="24" t="str">
        <x:v>G-06</x:v>
      </x:c>
      <x:c r="B9" s="24" t="str">
        <x:v>Long-duration lunar energy storage</x:v>
      </x:c>
      <x:c r="C9" s="24" t="str">
        <x:v>NASA regenerative fuel cell — TRL 4; batteries mission-specific</x:v>
      </x:c>
      <x:c r="D9" s="24" t="str">
        <x:v>Storage must survive cold, cycling, radiation and long uncrewed periods while keeping landed mass low</x:v>
      </x:c>
      <x:c r="E9" s="24" t="str">
        <x:v>Modular battery/RFC hybrid with replaceable packs and autonomous thermal management</x:v>
      </x:c>
      <x:c r="F9" s="24" t="str">
        <x:v>&gt;12 h critical autonomy with high round-trip availability</x:v>
      </x:c>
      <x:c r="G9" s="24" t="str">
        <x:v>Cold-soak cycling + radiation + pack-isolation fault test</x:v>
      </x:c>
      <x:c r="H9" s="24" t="str">
        <x:v>Cells, pressure vessels if RFC, heaters, BMS</x:v>
      </x:c>
      <x:c r="I9" s="24" t="str">
        <x:v>Very High</x:v>
      </x:c>
      <x:c r="J9" s="24" t="str">
        <x:v>Yes</x:v>
      </x:c>
      <x:c r="K9" s="24" t="str">
        <x:v>Node 01 onward</x:v>
      </x:c>
      <x:c r="L9" s="24" t="n">
        <x:v>6</x:v>
      </x:c>
      <x:c r="M9" s="24" t="str">
        <x:v>NASA/industry</x:v>
      </x:c>
      <x:c r="N9" s="24" t="str">
        <x:v>Very High</x:v>
      </x:c>
      <x:c r="O9" s="24" t="str">
        <x:v>https://www.nasa.gov/power/</x:v>
      </x:c>
      <x:c r="P9" s="24" t="str">
        <x:v>First landed battery should collect degradation data</x:v>
      </x:c>
    </x:row>
    <x:row r="10">
      <x:c r="A10" s="24" t="str">
        <x:v>G-07</x:v>
      </x:c>
      <x:c r="B10" s="24" t="str">
        <x:v>Concentrator tower safe autonomous pointing</x:v>
      </x:c>
      <x:c r="C10" s="24" t="str">
        <x:v>No single mature lunar settlement system identified</x:v>
      </x:c>
      <x:c r="D10" s="24" t="str">
        <x:v>Optical concentrators introduce high-flux pointing hazards, actuator duty-cycle and dust/thermal distortion issues</x:v>
      </x:c>
      <x:c r="E10" s="24" t="str">
        <x:v>Fail-safe shutter/defocus, local safe-state battery, redundant sensing, target authorization and exclusion logic</x:v>
      </x:c>
      <x:c r="F10" s="24" t="str">
        <x:v>Autonomous safe optical delivery to plant/thermal receiver</x:v>
      </x:c>
      <x:c r="G10" s="24" t="str">
        <x:v>Sun simulator + actuator endurance + mispoint fault injection + dust test</x:v>
      </x:c>
      <x:c r="H10" s="24" t="str">
        <x:v>Reflectors, actuators, encoders, shutters</x:v>
      </x:c>
      <x:c r="I10" s="24" t="str">
        <x:v>High</x:v>
      </x:c>
      <x:c r="J10" s="24" t="str">
        <x:v>Potentially</x:v>
      </x:c>
      <x:c r="K10" s="24" t="str">
        <x:v>Before plant optical dependence</x:v>
      </x:c>
      <x:c r="L10" s="24" t="n">
        <x:v>5</x:v>
      </x:c>
      <x:c r="M10" s="24" t="str">
        <x:v>Industry/university</x:v>
      </x:c>
      <x:c r="N10" s="24" t="str">
        <x:v>High</x:v>
      </x:c>
      <x:c r="O10" s="24" t="str">
        <x:v>Architecture-derived gap</x:v>
      </x:c>
      <x:c r="P10" s="24" t="str">
        <x:v>Strong candidate for focused development</x:v>
      </x:c>
    </x:row>
    <x:row r="11">
      <x:c r="A11" s="24" t="str">
        <x:v>G-08</x:v>
      </x:c>
      <x:c r="B11" s="24" t="str">
        <x:v>Integrated power + data + health-monitoring umbilical</x:v>
      </x:c>
      <x:c r="C11" s="24" t="str">
        <x:v>Related DTAU / TULIPS concepts TRL 4–5</x:v>
      </x:c>
      <x:c r="D11" s="24" t="str">
        <x:v>Separate cable systems multiply mass and failure points; combined service needs health awareness</x:v>
      </x:c>
      <x:c r="E11" s="24" t="str">
        <x:v>Power/data/fiber integrated bundle with strain, temperature and insulation sensing and replaceable jacket</x:v>
      </x:c>
      <x:c r="F11" s="24" t="str">
        <x:v>Hundreds of meters, repairable, low-mass, crew/robot maintainable</x:v>
      </x:c>
      <x:c r="G11" s="24" t="str">
        <x:v>Flex-cycle + abrasion + thermal-vac + fault localization</x:v>
      </x:c>
      <x:c r="H11" s="24" t="str">
        <x:v>Fiber, conductors, jacket, sensors</x:v>
      </x:c>
      <x:c r="I11" s="24" t="str">
        <x:v>High</x:v>
      </x:c>
      <x:c r="J11" s="24" t="str">
        <x:v>Yes</x:v>
      </x:c>
      <x:c r="K11" s="24" t="str">
        <x:v>Early grid</x:v>
      </x:c>
      <x:c r="L11" s="24" t="n">
        <x:v>6</x:v>
      </x:c>
      <x:c r="M11" s="24" t="str">
        <x:v>Industry/NASA</x:v>
      </x:c>
      <x:c r="N11" s="24" t="str">
        <x:v>High</x:v>
      </x:c>
      <x:c r="O11" s="24" t="str">
        <x:v>https://www.nasa.gov/power/</x:v>
      </x:c>
      <x:c r="P11" s="24" t="str">
        <x:v>Direct match to wrapped ultra-temperature-swing-hardened concept</x:v>
      </x:c>
    </x:row>
    <x:row r="12">
      <x:c r="A12" s="24" t="str">
        <x:v>G-09</x:v>
      </x:c>
      <x:c r="B12" s="24" t="str">
        <x:v>Standard drive-up lunar service node</x:v>
      </x:c>
      <x:c r="C12" s="24" t="str">
        <x:v>No integrated standard today</x:v>
      </x:c>
      <x:c r="D12" s="24" t="str">
        <x:v>Vehicle charging, diagnostics, comms and utility transfer are treated as separate functions</x:v>
      </x:c>
      <x:c r="E12" s="24" t="str">
        <x:v>One standardized curbside node with physical docking geometry, power, data, diagnostics and optional fluids</x:v>
      </x:c>
      <x:c r="F12" s="24" t="str">
        <x:v>Rover can self-service without EVA crew</x:v>
      </x:c>
      <x:c r="G12" s="24" t="str">
        <x:v>Robotic docking repeatability + dust + fault + service workflow demo</x:v>
      </x:c>
      <x:c r="H12" s="24" t="str">
        <x:v>Node chassis, connector, charger, comms</x:v>
      </x:c>
      <x:c r="I12" s="24" t="str">
        <x:v>Medium</x:v>
      </x:c>
      <x:c r="J12" s="24" t="str">
        <x:v>No initially</x:v>
      </x:c>
      <x:c r="K12" s="24" t="str">
        <x:v>Mobility buildout</x:v>
      </x:c>
      <x:c r="L12" s="24" t="n">
        <x:v>5</x:v>
      </x:c>
      <x:c r="M12" s="24" t="str">
        <x:v>Industry / standards group</x:v>
      </x:c>
      <x:c r="N12" s="24" t="str">
        <x:v>High</x:v>
      </x:c>
      <x:c r="O12" s="24" t="str">
        <x:v>Architecture-derived gap</x:v>
      </x:c>
      <x:c r="P12" s="24" t="str">
        <x:v>Could become a clear LOGIC product concept</x:v>
      </x:c>
    </x:row>
  </x:sheetData>
  <x:mergeCells>
    <x:mergeCell ref="A1:P1"/>
  </x:mergeCells>
  <x:conditionalFormatting sqref="A4:P12">
    <x:cfRule type="expression" dxfId="2" priority="1">
      <x:formula>$N4="Very High"</x:formula>
    </x:cfRule>
    <x:cfRule type="expression" dxfId="3" priority="2">
      <x:formula>$N4="High"</x:formula>
    </x:cfRule>
  </x:conditionalFormatting>
  <x:dataValidations count="1">
    <x:dataValidation type="list" sqref="N4:N12">
      <x:formula1>"Very High,High,Medium,Low"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14" hidden="0" customWidth="1"/>
    <x:col min="5" max="5" width="14" hidden="0" customWidth="1"/>
    <x:col min="6" max="6" width="16" hidden="0" customWidth="1"/>
    <x:col min="7" max="7" width="34" hidden="0" customWidth="1"/>
    <x:col min="8" max="8" width="30" hidden="0" customWidth="1"/>
    <x:col min="9" max="9" width="12" hidden="0" customWidth="1"/>
    <x:col min="10" max="10" width="12" hidden="0" customWidth="1"/>
    <x:col min="11" max="11" width="18" hidden="0" customWidth="1"/>
    <x:col min="12" max="12" width="32" hidden="0" customWidth="1"/>
    <x:col min="13" max="13" width="32" hidden="0" customWidth="1"/>
    <x:col min="14" max="14" width="14" hidden="0" customWidth="1"/>
  </x:cols>
  <x:sheetData>
    <x:row r="1" ht="28" customHeight="1">
      <x:c r="A1" s="58" t="str">
        <x:v>Suggested Development Tasks and Timing</x:v>
      </x:c>
    </x:row>
    <x:row r="3">
      <x:c r="A3" s="63" t="str">
        <x:v>Task ID</x:v>
      </x:c>
      <x:c r="B3" s="63" t="str">
        <x:v>Workstream</x:v>
      </x:c>
      <x:c r="C3" s="63" t="str">
        <x:v>Task</x:v>
      </x:c>
      <x:c r="D3" s="63" t="str">
        <x:v>Start</x:v>
      </x:c>
      <x:c r="E3" s="63" t="str">
        <x:v>Finish</x:v>
      </x:c>
      <x:c r="F3" s="63" t="str">
        <x:v>Predecessor</x:v>
      </x:c>
      <x:c r="G3" s="63" t="str">
        <x:v>Deliverable</x:v>
      </x:c>
      <x:c r="H3" s="63" t="str">
        <x:v>Test Environment</x:v>
      </x:c>
      <x:c r="I3" s="63" t="str">
        <x:v>TRL Start</x:v>
      </x:c>
      <x:c r="J3" s="63" t="str">
        <x:v>TRL Goal</x:v>
      </x:c>
      <x:c r="K3" s="63" t="str">
        <x:v>Supports Landing</x:v>
      </x:c>
      <x:c r="L3" s="63" t="str">
        <x:v>Mass / Supply Output</x:v>
      </x:c>
      <x:c r="M3" s="63" t="str">
        <x:v>Decision Gate</x:v>
      </x:c>
      <x:c r="N3" s="63" t="str">
        <x:v>Status</x:v>
      </x:c>
    </x:row>
    <x:row r="4">
      <x:c r="A4" s="24" t="str">
        <x:v>T-01</x:v>
      </x:c>
      <x:c r="B4" s="24" t="str">
        <x:v>Architecture</x:v>
      </x:c>
      <x:c r="C4" s="24" t="str">
        <x:v>Freeze node interface requirements</x:v>
      </x:c>
      <x:c r="D4" s="24" t="str">
        <x:v>2026 Q4</x:v>
      </x:c>
      <x:c r="E4" s="24" t="str">
        <x:v>2027 Q1</x:v>
      </x:c>
      <x:c r="F4" s="24" t="str">
        <x:v>—</x:v>
      </x:c>
      <x:c r="G4" s="24" t="str">
        <x:v>Utility Node ICD v1</x:v>
      </x:c>
      <x:c r="H4" s="24" t="str">
        <x:v>Design / digital twin</x:v>
      </x:c>
      <x:c r="I4" s="64" t="n">
        <x:v>3</x:v>
      </x:c>
      <x:c r="J4" s="64" t="n">
        <x:v>4</x:v>
      </x:c>
      <x:c r="K4" s="24" t="str">
        <x:v>1</x:v>
      </x:c>
      <x:c r="L4" s="24" t="str">
        <x:v>Connector, bus, telemetry standards</x:v>
      </x:c>
      <x:c r="M4" s="24" t="str">
        <x:v>Approve 120 VDC local + HV trade matrix</x:v>
      </x:c>
      <x:c r="N4" s="24" t="str">
        <x:v>Planned</x:v>
      </x:c>
    </x:row>
    <x:row r="5">
      <x:c r="A5" s="24" t="str">
        <x:v>T-02</x:v>
      </x:c>
      <x:c r="B5" s="24" t="str">
        <x:v>Energy Storage</x:v>
      </x:c>
      <x:c r="C5" s="24" t="str">
        <x:v>Select first-node battery chemistry / pack architecture</x:v>
      </x:c>
      <x:c r="D5" s="24" t="str">
        <x:v>2026 Q4</x:v>
      </x:c>
      <x:c r="E5" s="24" t="str">
        <x:v>2027 Q2</x:v>
      </x:c>
      <x:c r="F5" s="24" t="str">
        <x:v>T-01</x:v>
      </x:c>
      <x:c r="G5" s="24" t="str">
        <x:v>100 kWh-class seed battery concept</x:v>
      </x:c>
      <x:c r="H5" s="24" t="str">
        <x:v>Cell + thermal-vac screening</x:v>
      </x:c>
      <x:c r="I5" s="64" t="n">
        <x:v>4</x:v>
      </x:c>
      <x:c r="J5" s="64" t="n">
        <x:v>5</x:v>
      </x:c>
      <x:c r="K5" s="24" t="str">
        <x:v>1</x:v>
      </x:c>
      <x:c r="L5" s="24" t="str">
        <x:v>kg/kWh, heater load, spare module count</x:v>
      </x:c>
      <x:c r="M5" s="24" t="str">
        <x:v>Cold-soak/cycle pass</x:v>
      </x:c>
      <x:c r="N5" s="24" t="str">
        <x:v>Planned</x:v>
      </x:c>
    </x:row>
    <x:row r="6">
      <x:c r="A6" s="24" t="str">
        <x:v>T-03</x:v>
      </x:c>
      <x:c r="B6" s="24" t="str">
        <x:v>Distribution</x:v>
      </x:c>
      <x:c r="C6" s="24" t="str">
        <x:v>HV transmission voltage trade</x:v>
      </x:c>
      <x:c r="D6" s="24" t="str">
        <x:v>2026 Q4</x:v>
      </x:c>
      <x:c r="E6" s="24" t="str">
        <x:v>2027 Q2</x:v>
      </x:c>
      <x:c r="F6" s="24" t="str">
        <x:v>T-01</x:v>
      </x:c>
      <x:c r="G6" s="24" t="str">
        <x:v>120 V / 600 V / 1 kV / 3 kV+ trade</x:v>
      </x:c>
      <x:c r="H6" s="24" t="str">
        <x:v>Analytical + cable test</x:v>
      </x:c>
      <x:c r="I6" s="64" t="n">
        <x:v>4</x:v>
      </x:c>
      <x:c r="J6" s="64" t="n">
        <x:v>5</x:v>
      </x:c>
      <x:c r="K6" s="24" t="str">
        <x:v>1–2</x:v>
      </x:c>
      <x:c r="L6" s="24" t="str">
        <x:v>kg/km, loss/km, converter mass</x:v>
      </x:c>
      <x:c r="M6" s="24" t="str">
        <x:v>Select demo voltage</x:v>
      </x:c>
      <x:c r="N6" s="24" t="str">
        <x:v>Planned</x:v>
      </x:c>
    </x:row>
    <x:row r="7">
      <x:c r="A7" s="24" t="str">
        <x:v>T-04</x:v>
      </x:c>
      <x:c r="B7" s="24" t="str">
        <x:v>Umbilicals</x:v>
      </x:c>
      <x:c r="C7" s="24" t="str">
        <x:v>Build dust/thermal hardened utility umbilical coupon set</x:v>
      </x:c>
      <x:c r="D7" s="24" t="str">
        <x:v>2027 Q1</x:v>
      </x:c>
      <x:c r="E7" s="24" t="str">
        <x:v>2027 Q4</x:v>
      </x:c>
      <x:c r="F7" s="24" t="str">
        <x:v>T-01</x:v>
      </x:c>
      <x:c r="G7" s="24" t="str">
        <x:v>Cable + connector prototypes</x:v>
      </x:c>
      <x:c r="H7" s="24" t="str">
        <x:v>Thermal-vac + regolith + bend cycle</x:v>
      </x:c>
      <x:c r="I7" s="64" t="n">
        <x:v>4</x:v>
      </x:c>
      <x:c r="J7" s="64" t="n">
        <x:v>5</x:v>
      </x:c>
      <x:c r="K7" s="24" t="str">
        <x:v>2</x:v>
      </x:c>
      <x:c r="L7" s="24" t="str">
        <x:v>Spare jacket/connector rates</x:v>
      </x:c>
      <x:c r="M7" s="24" t="str">
        <x:v>1000-cycle mate/bend evidence</x:v>
      </x:c>
      <x:c r="N7" s="24" t="str">
        <x:v>Planned</x:v>
      </x:c>
    </x:row>
    <x:row r="8">
      <x:c r="A8" s="24" t="str">
        <x:v>T-05</x:v>
      </x:c>
      <x:c r="B8" s="24" t="str">
        <x:v>Controls</x:v>
      </x:c>
      <x:c r="C8" s="24" t="str">
        <x:v>Microgrid EMS hardware-in-loop demonstrator</x:v>
      </x:c>
      <x:c r="D8" s="24" t="str">
        <x:v>2027 Q1</x:v>
      </x:c>
      <x:c r="E8" s="24" t="str">
        <x:v>2028 Q1</x:v>
      </x:c>
      <x:c r="F8" s="24" t="str">
        <x:v>T-01</x:v>
      </x:c>
      <x:c r="G8" s="24" t="str">
        <x:v>5-node autonomous EMS</x:v>
      </x:c>
      <x:c r="H8" s="24" t="str">
        <x:v>HIL faults / comm loss</x:v>
      </x:c>
      <x:c r="I8" s="64" t="n">
        <x:v>3</x:v>
      </x:c>
      <x:c r="J8" s="64" t="n">
        <x:v>5</x:v>
      </x:c>
      <x:c r="K8" s="24" t="str">
        <x:v>1–2</x:v>
      </x:c>
      <x:c r="L8" s="24" t="str">
        <x:v>Controller/sensor BOM</x:v>
      </x:c>
      <x:c r="M8" s="24" t="str">
        <x:v>72 h unattended fault campaign</x:v>
      </x:c>
      <x:c r="N8" s="24" t="str">
        <x:v>Planned</x:v>
      </x:c>
    </x:row>
    <x:row r="9">
      <x:c r="A9" s="24" t="str">
        <x:v>T-06</x:v>
      </x:c>
      <x:c r="B9" s="24" t="str">
        <x:v>Vehicle Service</x:v>
      </x:c>
      <x:c r="C9" s="24" t="str">
        <x:v>Drive-up wired rover service node prototype</x:v>
      </x:c>
      <x:c r="D9" s="24" t="str">
        <x:v>2027 Q3</x:v>
      </x:c>
      <x:c r="E9" s="24" t="str">
        <x:v>2028 Q3</x:v>
      </x:c>
      <x:c r="F9" s="24" t="str">
        <x:v>T-04,T-05</x:v>
      </x:c>
      <x:c r="G9" s="24" t="str">
        <x:v>Service Node prototype</x:v>
      </x:c>
      <x:c r="H9" s="24" t="str">
        <x:v>Dust + docking + load testing</x:v>
      </x:c>
      <x:c r="I9" s="64" t="n">
        <x:v>4</x:v>
      </x:c>
      <x:c r="J9" s="64" t="n">
        <x:v>5</x:v>
      </x:c>
      <x:c r="K9" s="24" t="str">
        <x:v>2</x:v>
      </x:c>
      <x:c r="L9" s="24" t="str">
        <x:v>Charger mass, connector spares</x:v>
      </x:c>
      <x:c r="M9" s="24" t="str">
        <x:v>Robotic mate reliability</x:v>
      </x:c>
      <x:c r="N9" s="24" t="str">
        <x:v>Planned</x:v>
      </x:c>
    </x:row>
    <x:row r="10">
      <x:c r="A10" s="24" t="str">
        <x:v>T-07</x:v>
      </x:c>
      <x:c r="B10" s="24" t="str">
        <x:v>Wireless Charging</x:v>
      </x:c>
      <x:c r="C10" s="24" t="str">
        <x:v>Wireless pad contamination/alignment test</x:v>
      </x:c>
      <x:c r="D10" s="24" t="str">
        <x:v>2028 Q1</x:v>
      </x:c>
      <x:c r="E10" s="24" t="str">
        <x:v>2029 Q1</x:v>
      </x:c>
      <x:c r="F10" s="24" t="str">
        <x:v>T-06</x:v>
      </x:c>
      <x:c r="G10" s="24" t="str">
        <x:v>Go/no-go for wireless baseline</x:v>
      </x:c>
      <x:c r="H10" s="24" t="str">
        <x:v>Dust layers + EMI + thermal-vac</x:v>
      </x:c>
      <x:c r="I10" s="64" t="n">
        <x:v>5</x:v>
      </x:c>
      <x:c r="J10" s="64" t="n">
        <x:v>6</x:v>
      </x:c>
      <x:c r="K10" s="24" t="str">
        <x:v>3</x:v>
      </x:c>
      <x:c r="L10" s="24" t="str">
        <x:v>Pad electronics / wear surface</x:v>
      </x:c>
      <x:c r="M10" s="24" t="str">
        <x:v>Efficiency and heat criteria</x:v>
      </x:c>
      <x:c r="N10" s="24" t="str">
        <x:v>Planned</x:v>
      </x:c>
    </x:row>
    <x:row r="11">
      <x:c r="A11" s="24" t="str">
        <x:v>T-08</x:v>
      </x:c>
      <x:c r="B11" s="24" t="str">
        <x:v>Solar Optical</x:v>
      </x:c>
      <x:c r="C11" s="24" t="str">
        <x:v>Concentrator safe-state breadboard</x:v>
      </x:c>
      <x:c r="D11" s="24" t="str">
        <x:v>2028 Q3</x:v>
      </x:c>
      <x:c r="E11" s="24" t="str">
        <x:v>2029 Q4</x:v>
      </x:c>
      <x:c r="F11" s="24" t="str">
        <x:v>T-05</x:v>
      </x:c>
      <x:c r="G11" s="24" t="str">
        <x:v>Tower controller + shutter/defocus demo</x:v>
      </x:c>
      <x:c r="H11" s="24" t="str">
        <x:v>Sun simulator + fault injection</x:v>
      </x:c>
      <x:c r="I11" s="64" t="n">
        <x:v>3</x:v>
      </x:c>
      <x:c r="J11" s="64" t="n">
        <x:v>5</x:v>
      </x:c>
      <x:c r="K11" s="24" t="str">
        <x:v>5–6</x:v>
      </x:c>
      <x:c r="L11" s="24" t="str">
        <x:v>Actuator/reflector mass model</x:v>
      </x:c>
      <x:c r="M11" s="24" t="str">
        <x:v>Loss-of-power safe-state pass</x:v>
      </x:c>
      <x:c r="N11" s="24" t="str">
        <x:v>Planned</x:v>
      </x:c>
    </x:row>
    <x:row r="12">
      <x:c r="A12" s="24" t="str">
        <x:v>T-09</x:v>
      </x:c>
      <x:c r="B12" s="24" t="str">
        <x:v>Integrated Grid</x:v>
      </x:c>
      <x:c r="C12" s="24" t="str">
        <x:v>1 km equivalent feeder + 3-node field demo</x:v>
      </x:c>
      <x:c r="D12" s="24" t="str">
        <x:v>2029 Q1</x:v>
      </x:c>
      <x:c r="E12" s="24" t="str">
        <x:v>2030 Q2</x:v>
      </x:c>
      <x:c r="F12" s="24" t="str">
        <x:v>T-03,T-04,T-05</x:v>
      </x:c>
      <x:c r="G12" s="24" t="str">
        <x:v>Integrated microgrid demo</x:v>
      </x:c>
      <x:c r="H12" s="24" t="str">
        <x:v>Vacuum-relevant / field analog</x:v>
      </x:c>
      <x:c r="I12" s="64" t="n">
        <x:v>5</x:v>
      </x:c>
      <x:c r="J12" s="64" t="n">
        <x:v>6</x:v>
      </x:c>
      <x:c r="K12" s="24" t="str">
        <x:v>3–4</x:v>
      </x:c>
      <x:c r="L12" s="24" t="str">
        <x:v>kg/kW-km, loss, thermal data</x:v>
      </x:c>
      <x:c r="M12" s="24" t="str">
        <x:v>Grid readiness review</x:v>
      </x:c>
      <x:c r="N12" s="24" t="str">
        <x:v>Planned</x:v>
      </x:c>
    </x:row>
    <x:row r="13">
      <x:c r="A13" s="24" t="str">
        <x:v>T-10</x:v>
      </x:c>
      <x:c r="B13" s="24" t="str">
        <x:v>Plant Power</x:v>
      </x:c>
      <x:c r="C13" s="24" t="str">
        <x:v>25–50 m² plant power/optical integration demo</x:v>
      </x:c>
      <x:c r="D13" s="24" t="str">
        <x:v>2030 Q1</x:v>
      </x:c>
      <x:c r="E13" s="24" t="str">
        <x:v>2031 Q2</x:v>
      </x:c>
      <x:c r="F13" s="24" t="str">
        <x:v>T-08,T-09</x:v>
      </x:c>
      <x:c r="G13" s="24" t="str">
        <x:v>Plant Module 01 power package</x:v>
      </x:c>
      <x:c r="H13" s="24" t="str">
        <x:v>Closed-loop grow test</x:v>
      </x:c>
      <x:c r="I13" s="64" t="n">
        <x:v>4</x:v>
      </x:c>
      <x:c r="J13" s="64" t="n">
        <x:v>6</x:v>
      </x:c>
      <x:c r="K13" s="24" t="str">
        <x:v>6</x:v>
      </x:c>
      <x:c r="L13" s="24" t="str">
        <x:v>kWh/kg food-support metric</x:v>
      </x:c>
      <x:c r="M13" s="24" t="str">
        <x:v>Crop uptime / load-shed test</x:v>
      </x:c>
      <x:c r="N13" s="24" t="str">
        <x:v>Planned</x:v>
      </x:c>
    </x:row>
  </x:sheetData>
  <x:mergeCells>
    <x:mergeCell ref="A1:N1"/>
  </x:mergeCells>
  <x:dataValidations count="1">
    <x:dataValidation type="list" sqref="N4:N13">
      <x:formula1>"Planned,In Work,Blocked,Complete"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12" hidden="0" customWidth="1"/>
    <x:col min="15" max="15" width="28" hidden="0" customWidth="1"/>
    <x:col min="16" max="16" width="40" hidden="0" customWidth="1"/>
  </x:cols>
  <x:sheetData>
    <x:row r="1" ht="28" customHeight="1">
      <x:c r="A1" s="73" t="str">
        <x:v>Power Conversion &amp; Transformation Layer — Modular DC/DC Architecture</x:v>
      </x:c>
    </x:row>
    <x:row r="3">
      <x:c r="A3" s="78" t="str">
        <x:v>Module ID</x:v>
      </x:c>
      <x:c r="B3" s="78" t="str">
        <x:v>Function</x:v>
      </x:c>
      <x:c r="C3" s="78" t="str">
        <x:v>Trunk Input</x:v>
      </x:c>
      <x:c r="D3" s="78" t="str">
        <x:v>Local Output</x:v>
      </x:c>
      <x:c r="E3" s="78" t="str">
        <x:v>Secondary Output</x:v>
      </x:c>
      <x:c r="F3" s="78" t="str">
        <x:v>Rated kW</x:v>
      </x:c>
      <x:c r="G3" s="78" t="str">
        <x:v>Nominal Efficiency</x:v>
      </x:c>
      <x:c r="H3" s="78" t="str">
        <x:v>Input Current A</x:v>
      </x:c>
      <x:c r="I3" s="78" t="str">
        <x:v>Output Current A</x:v>
      </x:c>
      <x:c r="J3" s="78" t="str">
        <x:v>Waste Heat kW</x:v>
      </x:c>
      <x:c r="K3" s="78" t="str">
        <x:v>Redundancy</x:v>
      </x:c>
      <x:c r="L3" s="78" t="str">
        <x:v>Hot-Swappable?</x:v>
      </x:c>
      <x:c r="M3" s="78" t="str">
        <x:v>Mass Placeholder kg</x:v>
      </x:c>
      <x:c r="N3" s="78" t="str">
        <x:v>kg/kW</x:v>
      </x:c>
      <x:c r="O3" s="78" t="str">
        <x:v>Primary Users</x:v>
      </x:c>
      <x:c r="P3" s="78" t="str">
        <x:v>Design Note</x:v>
      </x:c>
    </x:row>
    <x:row r="4">
      <x:c r="A4" s="24" t="str">
        <x:v>PC-05</x:v>
      </x:c>
      <x:c r="B4" s="24" t="str">
        <x:v>Standard converter brick</x:v>
      </x:c>
      <x:c r="C4" s="24" t="str">
        <x:v>HVDC TBD</x:v>
      </x:c>
      <x:c r="D4" s="24" t="str">
        <x:v>120 VDC</x:v>
      </x:c>
      <x:c r="E4" s="24" t="str">
        <x:v>48/28 VDC downstream</x:v>
      </x:c>
      <x:c r="F4" s="26" t="n">
        <x:v>5</x:v>
      </x:c>
      <x:c r="G4" s="26" t="n">
        <x:v>0.95</x:v>
      </x:c>
      <x:c r="H4" s="26" t="n">
        <x:f>F4*1000/$B$10</x:f>
        <x:v>5</x:v>
      </x:c>
      <x:c r="I4" s="26" t="n">
        <x:f>F4*1000/$B$11</x:f>
        <x:v>41.666666666666664</x:v>
      </x:c>
      <x:c r="J4" s="26" t="n">
        <x:f>F4*(1/G4)-F4</x:f>
        <x:v>0.2631578947368416</x:v>
      </x:c>
      <x:c r="K4" s="26" t="str">
        <x:v>N+1 where critical</x:v>
      </x:c>
      <x:c r="L4" s="26" t="str">
        <x:v>Yes</x:v>
      </x:c>
      <x:c r="M4" s="26" t="n">
        <x:v>35</x:v>
      </x:c>
      <x:c r="N4" s="26" t="n">
        <x:f>M4/F4</x:f>
        <x:v>7</x:v>
      </x:c>
      <x:c r="O4" s="24" t="str">
        <x:v>Science, comms, small service loads</x:v>
      </x:c>
      <x:c r="P4" s="24" t="str">
        <x:v>Baseline common module; parallel for larger loads</x:v>
      </x:c>
    </x:row>
    <x:row r="5">
      <x:c r="A5" s="24" t="str">
        <x:v>PC-10</x:v>
      </x:c>
      <x:c r="B5" s="24" t="str">
        <x:v>Dual-brick assembly</x:v>
      </x:c>
      <x:c r="C5" s="24" t="str">
        <x:v>HVDC TBD</x:v>
      </x:c>
      <x:c r="D5" s="24" t="str">
        <x:v>120 VDC</x:v>
      </x:c>
      <x:c r="E5" s="24" t="str">
        <x:v>48/28 VDC downstream</x:v>
      </x:c>
      <x:c r="F5" s="26" t="n">
        <x:v>10</x:v>
      </x:c>
      <x:c r="G5" s="26" t="n">
        <x:v>0.95</x:v>
      </x:c>
      <x:c r="H5" s="26" t="n">
        <x:f>F5*1000/$B$10</x:f>
        <x:v>10</x:v>
      </x:c>
      <x:c r="I5" s="26" t="n">
        <x:f>F5*1000/$B$11</x:f>
        <x:v>83.33333333333333</x:v>
      </x:c>
      <x:c r="J5" s="26" t="n">
        <x:f>F5*(1/G5)-F5</x:f>
        <x:v>0.5263157894736832</x:v>
      </x:c>
      <x:c r="K5" s="26" t="str">
        <x:v>1+1 or 2 active</x:v>
      </x:c>
      <x:c r="L5" s="26" t="str">
        <x:v>Yes</x:v>
      </x:c>
      <x:c r="M5" s="26" t="n">
        <x:v>75</x:v>
      </x:c>
      <x:c r="N5" s="26" t="n">
        <x:f>M5/F5</x:f>
        <x:v>7.5</x:v>
      </x:c>
      <x:c r="O5" s="24" t="str">
        <x:v>Rover service, plant support</x:v>
      </x:c>
      <x:c r="P5" s="24" t="str">
        <x:v>Two standard bricks plus common control/cooling</x:v>
      </x:c>
    </x:row>
    <x:row r="6">
      <x:c r="A6" s="24" t="str">
        <x:v>PC-20</x:v>
      </x:c>
      <x:c r="B6" s="24" t="str">
        <x:v>Four-brick assembly</x:v>
      </x:c>
      <x:c r="C6" s="24" t="str">
        <x:v>HVDC TBD</x:v>
      </x:c>
      <x:c r="D6" s="24" t="str">
        <x:v>120 VDC</x:v>
      </x:c>
      <x:c r="E6" s="24" t="str">
        <x:v>48/28 VDC downstream</x:v>
      </x:c>
      <x:c r="F6" s="26" t="n">
        <x:v>20</x:v>
      </x:c>
      <x:c r="G6" s="26" t="n">
        <x:v>0.95</x:v>
      </x:c>
      <x:c r="H6" s="26" t="n">
        <x:f>F6*1000/$B$10</x:f>
        <x:v>20</x:v>
      </x:c>
      <x:c r="I6" s="26" t="n">
        <x:f>F6*1000/$B$11</x:f>
        <x:v>166.66666666666666</x:v>
      </x:c>
      <x:c r="J6" s="26" t="n">
        <x:f>F6*(1/G6)-F6</x:f>
        <x:v>1.0526315789473664</x:v>
      </x:c>
      <x:c r="K6" s="26" t="str">
        <x:v>N+1 preferred</x:v>
      </x:c>
      <x:c r="L6" s="26" t="str">
        <x:v>Yes</x:v>
      </x:c>
      <x:c r="M6" s="26" t="n">
        <x:v>150</x:v>
      </x:c>
      <x:c r="N6" s="26" t="n">
        <x:f>M6/F6</x:f>
        <x:v>7.5</x:v>
      </x:c>
      <x:c r="O6" s="24" t="str">
        <x:v>Habitat, plant, mobility node</x:v>
      </x:c>
      <x:c r="P6" s="24" t="str">
        <x:v>Use common power modules rather than unique converter</x:v>
      </x:c>
    </x:row>
    <x:row r="7">
      <x:c r="A7" s="24" t="str">
        <x:v>PC-40</x:v>
      </x:c>
      <x:c r="B7" s="24" t="str">
        <x:v>High-load node assembly</x:v>
      </x:c>
      <x:c r="C7" s="24" t="str">
        <x:v>HVDC TBD</x:v>
      </x:c>
      <x:c r="D7" s="24" t="str">
        <x:v>120 VDC</x:v>
      </x:c>
      <x:c r="E7" s="24" t="str">
        <x:v>48/28 VDC downstream</x:v>
      </x:c>
      <x:c r="F7" s="26" t="n">
        <x:v>40</x:v>
      </x:c>
      <x:c r="G7" s="26" t="n">
        <x:v>0.95</x:v>
      </x:c>
      <x:c r="H7" s="26" t="n">
        <x:f>F7*1000/$B$10</x:f>
        <x:v>40</x:v>
      </x:c>
      <x:c r="I7" s="26" t="n">
        <x:f>F7*1000/$B$11</x:f>
        <x:v>333.3333333333333</x:v>
      </x:c>
      <x:c r="J7" s="26" t="n">
        <x:f>F7*(1/G7)-F7</x:f>
        <x:v>2.1052631578947327</x:v>
      </x:c>
      <x:c r="K7" s="26" t="str">
        <x:v>N+1 mandatory for crew critical</x:v>
      </x:c>
      <x:c r="L7" s="26" t="str">
        <x:v>Yes</x:v>
      </x:c>
      <x:c r="M7" s="26" t="n">
        <x:v>300</x:v>
      </x:c>
      <x:c r="N7" s="26" t="n">
        <x:f>M7/F7</x:f>
        <x:v>7.5</x:v>
      </x:c>
      <x:c r="O7" s="24" t="str">
        <x:v>Habitat cluster / industrial</x:v>
      </x:c>
      <x:c r="P7" s="24" t="str">
        <x:v>Parallel modular architecture; avoid single-point converter failure</x:v>
      </x:c>
    </x:row>
    <x:row r="9">
      <x:c r="A9" s="78" t="str">
        <x:v>Trade Input</x:v>
      </x:c>
      <x:c r="B9" s="78" t="str">
        <x:v>Value</x:v>
      </x:c>
      <x:c r="C9" s="78" t="str">
        <x:v>Units</x:v>
      </x:c>
      <x:c r="D9" s="78" t="str">
        <x:v>Note</x:v>
      </x:c>
    </x:row>
    <x:row r="10">
      <x:c r="A10" s="24" t="str">
        <x:v>Illustrative trunk voltage</x:v>
      </x:c>
      <x:c r="B10" s="24" t="n">
        <x:v>1000</x:v>
      </x:c>
      <x:c r="C10" s="24" t="str">
        <x:v>VDC</x:v>
      </x:c>
      <x:c r="D10" s="24" t="str">
        <x:v>Trade variable; do not freeze yet</x:v>
      </x:c>
    </x:row>
    <x:row r="11">
      <x:c r="A11" s="24" t="str">
        <x:v>Local bus voltage</x:v>
      </x:c>
      <x:c r="B11" s="24" t="n">
        <x:v>120</x:v>
      </x:c>
      <x:c r="C11" s="24" t="str">
        <x:v>VDC</x:v>
      </x:c>
      <x:c r="D11" s="24" t="str">
        <x:v>NASA-aligned local exchange level</x:v>
      </x:c>
    </x:row>
    <x:row r="12">
      <x:c r="A12" s="24" t="str">
        <x:v>Secondary bus A</x:v>
      </x:c>
      <x:c r="B12" s="24" t="n">
        <x:v>48</x:v>
      </x:c>
      <x:c r="C12" s="24" t="str">
        <x:v>VDC</x:v>
      </x:c>
      <x:c r="D12" s="24" t="str">
        <x:v>Rovers, controls, intermediate loads</x:v>
      </x:c>
    </x:row>
    <x:row r="13">
      <x:c r="A13" s="24" t="str">
        <x:v>Secondary bus B</x:v>
      </x:c>
      <x:c r="B13" s="24" t="n">
        <x:v>28</x:v>
      </x:c>
      <x:c r="C13" s="24" t="str">
        <x:v>VDC</x:v>
      </x:c>
      <x:c r="D13" s="24" t="str">
        <x:v>Avionics/instrumentation heritage loads</x:v>
      </x:c>
    </x:row>
    <x:row r="15">
      <x:c r="F15" s="78" t="str">
        <x:v>Node Sizing Example</x:v>
      </x:c>
      <x:c r="G15" s="78" t="str">
        <x:v>Critical Load kW</x:v>
      </x:c>
      <x:c r="H15" s="78" t="str">
        <x:v>Required Capacity kW</x:v>
      </x:c>
      <x:c r="I15" s="78" t="str">
        <x:v>Module Size kW</x:v>
      </x:c>
      <x:c r="J15" s="78" t="str">
        <x:v>Modules Active</x:v>
      </x:c>
      <x:c r="K15" s="78" t="str">
        <x:v>N+1 Spare</x:v>
      </x:c>
      <x:c r="L15" s="78" t="str">
        <x:v>Installed Modules</x:v>
      </x:c>
      <x:c r="M15" s="78" t="str">
        <x:v>Installed Capacity kW</x:v>
      </x:c>
      <x:c r="N15" s="78" t="str">
        <x:v>Converter Loss kW</x:v>
      </x:c>
      <x:c r="O15" s="78" t="str">
        <x:v>Thermal Design kW</x:v>
      </x:c>
      <x:c r="P15" s="78" t="str">
        <x:v>Comment</x:v>
      </x:c>
    </x:row>
    <x:row r="16">
      <x:c r="F16" s="24" t="str">
        <x:v>Small service node</x:v>
      </x:c>
      <x:c r="G16" s="26" t="n">
        <x:v>6</x:v>
      </x:c>
      <x:c r="H16" s="26" t="n">
        <x:v>8</x:v>
      </x:c>
      <x:c r="I16" s="26" t="n">
        <x:v>5</x:v>
      </x:c>
      <x:c r="J16" s="26" t="n">
        <x:v>2</x:v>
      </x:c>
      <x:c r="K16" s="26" t="n">
        <x:v>1</x:v>
      </x:c>
      <x:c r="L16" s="26" t="n">
        <x:f>J16+K16</x:f>
        <x:v>3</x:v>
      </x:c>
      <x:c r="M16" s="26" t="n">
        <x:f>L16*I16</x:f>
        <x:v>15</x:v>
      </x:c>
      <x:c r="N16" s="26" t="n">
        <x:f>M16*(1/0.95)-M16</x:f>
        <x:v>0.7894736842105257</x:v>
      </x:c>
      <x:c r="O16" s="26" t="n">
        <x:f>N16*1.25</x:f>
        <x:v>0.9868421052631571</x:v>
      </x:c>
      <x:c r="P16" s="24" t="str">
        <x:v>Three 5 kW bricks = 10 kW active + 5 kW spare</x:v>
      </x:c>
    </x:row>
    <x:row r="17">
      <x:c r="F17" s="24" t="str">
        <x:v>Plant/science node</x:v>
      </x:c>
      <x:c r="G17" s="26" t="n">
        <x:v>12</x:v>
      </x:c>
      <x:c r="H17" s="26" t="n">
        <x:v>15</x:v>
      </x:c>
      <x:c r="I17" s="26" t="n">
        <x:v>5</x:v>
      </x:c>
      <x:c r="J17" s="26" t="n">
        <x:v>3</x:v>
      </x:c>
      <x:c r="K17" s="26" t="n">
        <x:v>1</x:v>
      </x:c>
      <x:c r="L17" s="26" t="n">
        <x:f>J17+K17</x:f>
        <x:v>4</x:v>
      </x:c>
      <x:c r="M17" s="26" t="n">
        <x:f>L17*I17</x:f>
        <x:v>20</x:v>
      </x:c>
      <x:c r="N17" s="26" t="n">
        <x:f>M17*(1/0.95)-M17</x:f>
        <x:v>1.0526315789473664</x:v>
      </x:c>
      <x:c r="O17" s="26" t="n">
        <x:f>N17*1.25</x:f>
        <x:v>1.315789473684208</x:v>
      </x:c>
      <x:c r="P17" s="24" t="str">
        <x:v>Four 5 kW bricks; lighting can be load-shed</x:v>
      </x:c>
    </x:row>
    <x:row r="18">
      <x:c r="F18" s="24" t="str">
        <x:v>Habitat node</x:v>
      </x:c>
      <x:c r="G18" s="26" t="n">
        <x:v>20</x:v>
      </x:c>
      <x:c r="H18" s="26" t="n">
        <x:v>25</x:v>
      </x:c>
      <x:c r="I18" s="26" t="n">
        <x:v>5</x:v>
      </x:c>
      <x:c r="J18" s="26" t="n">
        <x:v>5</x:v>
      </x:c>
      <x:c r="K18" s="26" t="n">
        <x:v>1</x:v>
      </x:c>
      <x:c r="L18" s="26" t="n">
        <x:f>J18+K18</x:f>
        <x:v>6</x:v>
      </x:c>
      <x:c r="M18" s="26" t="n">
        <x:f>L18*I18</x:f>
        <x:v>30</x:v>
      </x:c>
      <x:c r="N18" s="26" t="n">
        <x:f>M18*(1/0.95)-M18</x:f>
        <x:v>1.5789473684210513</x:v>
      </x:c>
      <x:c r="O18" s="26" t="n">
        <x:f>N18*1.25</x:f>
        <x:v>1.9736842105263142</x:v>
      </x:c>
      <x:c r="P18" s="24" t="str">
        <x:v>Six 5 kW bricks; supports one failed brick</x:v>
      </x:c>
    </x:row>
    <x:row r="19">
      <x:c r="F19" s="24" t="str">
        <x:v>Industrial node</x:v>
      </x:c>
      <x:c r="G19" s="26" t="n">
        <x:v>30</x:v>
      </x:c>
      <x:c r="H19" s="26" t="n">
        <x:v>35</x:v>
      </x:c>
      <x:c r="I19" s="26" t="n">
        <x:v>5</x:v>
      </x:c>
      <x:c r="J19" s="26" t="n">
        <x:v>7</x:v>
      </x:c>
      <x:c r="K19" s="26" t="n">
        <x:v>1</x:v>
      </x:c>
      <x:c r="L19" s="26" t="n">
        <x:f>J19+K19</x:f>
        <x:v>8</x:v>
      </x:c>
      <x:c r="M19" s="26" t="n">
        <x:f>L19*I19</x:f>
        <x:v>40</x:v>
      </x:c>
      <x:c r="N19" s="26" t="n">
        <x:f>M19*(1/0.95)-M19</x:f>
        <x:v>2.1052631578947327</x:v>
      </x:c>
      <x:c r="O19" s="26" t="n">
        <x:f>N19*1.25</x:f>
        <x:v>2.631578947368416</x:v>
      </x:c>
      <x:c r="P19" s="24" t="str">
        <x:v>Eight 5 kW bricks; schedule discretionary loads</x:v>
      </x:c>
    </x:row>
    <x:row r="21">
      <x:c r="A21" s="78" t="str">
        <x:v>Architecture rule</x:v>
      </x:c>
      <x:c r="B21" s="78" t="str"/>
      <x:c r="C21" s="78" t="str"/>
      <x:c r="D21" s="78" t="str"/>
      <x:c r="E21" s="78" t="str"/>
      <x:c r="F21" s="78" t="str"/>
      <x:c r="G21" s="78" t="str"/>
      <x:c r="H21" s="78" t="str"/>
      <x:c r="I21" s="78" t="str"/>
      <x:c r="J21" s="78" t="str"/>
      <x:c r="K21" s="78" t="str"/>
      <x:c r="L21" s="78" t="str"/>
      <x:c r="M21" s="78" t="str"/>
      <x:c r="N21" s="78" t="str"/>
      <x:c r="O21" s="78" t="str"/>
      <x:c r="P21" s="78" t="str"/>
    </x:row>
    <x:row r="22">
      <x:c r="A22" s="24" t="str">
        <x:v>High-voltage trunk feeds isolated modular DC/DC conversion at each utility node; conversion occurs near the load rather than at one central station.</x:v>
      </x:c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</x:row>
    <x:row r="23">
      <x:c r="A23" s="24" t="str">
        <x:v>Standardize the converter brick family so one spare can restore multiple node types; larger nodes gain capacity by paralleling identical modules.</x:v>
      </x:c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</x:row>
    <x:row r="24">
      <x:c r="A24" s="24" t="str">
        <x:v>Crew-critical nodes should retain N+1 conversion capability and a bypass / isolation path so one failed converter does not collapse the local bus.</x:v>
      </x:c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</x:row>
    <x:row r="25">
      <x:c r="A25" s="24" t="str">
        <x:v>Conversion efficiency is a thermal problem as well as an electrical problem: 20 kW delivered at 95% efficiency produces roughly 1.05 kW of local converter waste heat.</x:v>
      </x:c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</x:row>
    <x:row r="26">
      <x:c r="A26" s="24" t="str">
        <x:v>Primary trade metrics: kg/kW conversion, efficiency vs load, waste heat per node, spare commonality, radiation tolerance, and fault-isolation behavior.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</x:row>
  </x:sheetData>
  <x:mergeCells>
    <x:mergeCell ref="A1:P1"/>
    <x:mergeCell ref="A22:P22"/>
    <x:mergeCell ref="A23:P23"/>
    <x:mergeCell ref="A24:P24"/>
    <x:mergeCell ref="A25:P25"/>
    <x:mergeCell ref="A26:P26"/>
  </x:mergeCells>
  <x:pageMargins left="0.7" right="0.7" top="0.75" bottom="0.75" header="0.3" footer="0.3"/>
</x:worksheet>
</file>