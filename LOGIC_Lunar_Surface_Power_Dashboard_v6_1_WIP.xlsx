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6b86ac6ba14457" /></Relationships>
</file>

<file path=xl/workbook.xml><?xml version="1.0" encoding="utf-8"?>
<x:workbook xmlns:x="http://schemas.openxmlformats.org/spreadsheetml/2006/main">
  <x:sheets>
    <x:sheet xmlns:r="http://schemas.openxmlformats.org/officeDocument/2006/relationships" name="Assumptions" sheetId="1" r:id="R8414a2774d08479a"/>
    <x:sheet xmlns:r="http://schemas.openxmlformats.org/officeDocument/2006/relationships" name="NASA Timeline" sheetId="2" r:id="R546857de1cdc442e"/>
    <x:sheet xmlns:r="http://schemas.openxmlformats.org/officeDocument/2006/relationships" name="Facilities &amp; Loads" sheetId="3" r:id="Ra64bd6ca216945c2"/>
    <x:sheet xmlns:r="http://schemas.openxmlformats.org/officeDocument/2006/relationships" name="Plant Module" sheetId="4" r:id="R136a9fc69b4b4fff"/>
    <x:sheet xmlns:r="http://schemas.openxmlformats.org/officeDocument/2006/relationships" name="Generation &amp; Storage" sheetId="5" r:id="Re75d0f9fef904b62"/>
    <x:sheet xmlns:r="http://schemas.openxmlformats.org/officeDocument/2006/relationships" name="Distribution Panel" sheetId="6" r:id="R7d9d740ebeaa49f7"/>
    <x:sheet xmlns:r="http://schemas.openxmlformats.org/officeDocument/2006/relationships" name="Storage" sheetId="7" r:id="R0423ba326e294a6b"/>
    <x:sheet xmlns:r="http://schemas.openxmlformats.org/officeDocument/2006/relationships" name="Dashboard" sheetId="8" r:id="R18c1ca5da1464657"/>
    <x:sheet xmlns:r="http://schemas.openxmlformats.org/officeDocument/2006/relationships" name="References" sheetId="9" r:id="R0829edec92e64be3"/>
    <x:sheet xmlns:r="http://schemas.openxmlformats.org/officeDocument/2006/relationships" name="Mission Buildout" sheetId="10" r:id="R7386c41acc7242d4"/>
    <x:sheet xmlns:r="http://schemas.openxmlformats.org/officeDocument/2006/relationships" name="Microgrid Nodes" sheetId="11" r:id="R3cba84cecb4f4338"/>
    <x:sheet xmlns:r="http://schemas.openxmlformats.org/officeDocument/2006/relationships" name="Umbilicals &amp; Charging" sheetId="12" r:id="Rb3328c811a7f4ba1"/>
    <x:sheet xmlns:r="http://schemas.openxmlformats.org/officeDocument/2006/relationships" name="Solar Concentrators" sheetId="13" r:id="R71b7417742634a08"/>
    <x:sheet xmlns:r="http://schemas.openxmlformats.org/officeDocument/2006/relationships" name="Supply Forecast" sheetId="14" r:id="R0d28a51ab75b4007"/>
    <x:sheet xmlns:r="http://schemas.openxmlformats.org/officeDocument/2006/relationships" name="Technology Gaps" sheetId="15" r:id="R2b244605b75c4967"/>
    <x:sheet xmlns:r="http://schemas.openxmlformats.org/officeDocument/2006/relationships" name="Development Tasks" sheetId="16" r:id="R326b845536604d2b"/>
    <x:sheet xmlns:r="http://schemas.openxmlformats.org/officeDocument/2006/relationships" name="Power Conversion Layer" sheetId="17" r:id="R644818c03ec54ae5"/>
    <x:sheet xmlns:r="http://schemas.openxmlformats.org/officeDocument/2006/relationships" name="Operating Modes" sheetId="18" r:id="Ra9b8401fbe35472b"/>
    <x:sheet xmlns:r="http://schemas.openxmlformats.org/officeDocument/2006/relationships" name="Rescue Endurance" sheetId="19" r:id="R1c4b4098a8584c85"/>
    <x:sheet xmlns:r="http://schemas.openxmlformats.org/officeDocument/2006/relationships" name="C&amp;PNT Observability" sheetId="20" r:id="R9c190bc57177486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 &quot;kW&quot;"/>
    <x:numFmt numFmtId="203" formatCode="0 &quot;h&quot;"/>
    <x:numFmt numFmtId="204" formatCode="0.0 &quot;kWh&quot;"/>
  </x:numFmts>
  <x:fonts count="14">
    <x:font>
      <x:sz val="11"/>
      <x:name val="Carlito"/>
    </x:font>
    <x:font>
      <x:b/>
      <x:sz val="16"/>
      <x:color rgb="FFFFFFFF"/>
      <x:name val="Arial"/>
    </x:font>
    <x:font>
      <x:b/>
      <x:sz val="10"/>
      <x:color rgb="FF17365D"/>
      <x:name val="Arial"/>
    </x:font>
    <x:font>
      <x:sz val="10"/>
      <x:name val="Arial"/>
    </x:font>
    <x:font>
      <x:b/>
      <x:sz val="10"/>
      <x:name val="Arial"/>
    </x:font>
    <x:font>
      <x:b/>
      <x:sz val="11"/>
      <x:color rgb="FF17365D"/>
      <x:name val="Carlito"/>
    </x:font>
    <x:font>
      <x:i/>
      <x:sz val="11"/>
      <x:color rgb="FF333333"/>
      <x:name val="Carlito"/>
    </x:font>
    <x:font>
      <x:sz val="11"/>
      <x:name val="Arial"/>
    </x:font>
    <x:font>
      <x:b/>
      <x:sz val="11"/>
      <x:color rgb="FF17365D"/>
      <x:name val="Arial"/>
    </x:font>
    <x:font>
      <x:i/>
      <x:sz val="11"/>
      <x:color rgb="FF333333"/>
      <x:name val="Arial"/>
    </x:font>
    <x:font>
      <x:b/>
      <x:sz val="18"/>
      <x:color rgb="FFFFFFFF"/>
      <x:name val="Arial"/>
    </x:font>
    <x:font>
      <x:b/>
      <x:sz val="11"/>
      <x:color rgb="FFFFFFFF"/>
      <x:name val="Arial"/>
    </x:font>
    <x:font>
      <x:i/>
      <x:sz val="10"/>
      <x:color rgb="FF333333"/>
      <x:name val="Arial"/>
    </x:font>
    <x:font>
      <x:i/>
      <x:sz val="11"/>
      <x:name val="Carlito"/>
    </x:font>
  </x:fonts>
  <x:fills count="1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F4CCCC"/>
      </x:patternFill>
    </x:fill>
    <x:fill>
      <x:patternFill patternType="solid">
        <x:fgColor rgb="FFFFFFFF"/>
      </x:patternFill>
    </x:fill>
    <x:fill>
      <x:patternFill patternType="solid">
        <x:fgColor rgb="FFD9EAF7"/>
      </x:patternFill>
    </x:fill>
    <x:fill>
      <x:patternFill patternType="solid">
        <x:fgColor rgb="FFFFF2CC"/>
      </x:patternFill>
    </x:fill>
    <x:fill>
      <x:patternFill patternType="solid">
        <x:fgColor rgb="FFEAF3F8"/>
      </x:patternFill>
    </x:fill>
    <x:fill>
      <x:patternFill patternType="solid">
        <x:fgColor rgb="FF17365D"/>
      </x:patternFill>
    </x:fill>
  </x:fills>
  <x:borders count="3">
    <x:border/>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0" fillId="0" borderId="0" xfId="0" applyNumberFormat="1" applyFont="1" applyFill="1" applyBorder="1"/>
    <x:xf numFmtId="200" fontId="3" fillId="0" borderId="1" xfId="0" applyNumberFormat="1" applyFont="1" applyFill="1" applyBorder="1" applyAlignment="1">
      <x:alignment vertical="top" wrapText="1"/>
    </x:xf>
    <x:xf numFmtId="200" fontId="0"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left"/>
    </x:xf>
    <x:xf numFmtId="0" fontId="1" fillId="5" borderId="0" xfId="0" applyNumberFormat="1" applyFont="1" applyFill="1" applyBorder="1" applyAlignment="1">
      <x:alignment horizontal="lef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1" fontId="3" fillId="0"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0" borderId="0" xfId="0" applyNumberFormat="1" applyFont="1" applyFill="1" applyBorder="1" applyAlignment="1">
      <x:alignment wrapText="1"/>
    </x:xf>
    <x:xf numFmtId="200" fontId="0" fillId="10" borderId="0" xfId="0" applyNumberFormat="1" applyFont="1" applyFill="1" applyBorder="1" applyAlignment="1">
      <x:alignment wrapText="1"/>
    </x:xf>
    <x:xf numFmtId="200" fontId="2" fillId="10" borderId="0" xfId="0" applyNumberFormat="1" applyFont="1" applyFill="1" applyBorder="1" applyAlignment="1">
      <x:alignment wrapText="1"/>
    </x:xf>
    <x:xf numFmtId="200" fontId="2" fillId="10" borderId="0" xfId="0" applyNumberFormat="1" applyFont="1" applyFill="1" applyBorder="1" applyAlignment="1">
      <x:alignment horizontal="center" wrapText="1"/>
    </x:xf>
    <x:xf numFmtId="200" fontId="2" fillId="10" borderId="0" xfId="0" applyNumberFormat="1" applyFont="1" applyFill="1" applyBorder="1" applyAlignment="1">
      <x:alignment horizontal="center" vertical="center" wrapText="1"/>
    </x:xf>
    <x:xf numFmtId="0" fontId="3" fillId="11" borderId="0"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0" fillId="0" borderId="2" xfId="0" applyNumberFormat="1" applyFont="1" applyFill="1" applyBorder="1"/>
    <x:xf numFmtId="0" fontId="0" fillId="13" borderId="2" xfId="0" applyNumberFormat="1" applyFont="1" applyFill="1" applyBorder="1"/>
    <x:xf numFmtId="0" fontId="5" fillId="13" borderId="2" xfId="0" applyNumberFormat="1" applyFont="1" applyFill="1" applyBorder="1"/>
    <x:xf numFmtId="0" fontId="5" fillId="13" borderId="2" xfId="0" applyNumberFormat="1" applyFont="1" applyFill="1" applyBorder="1" applyAlignment="1">
      <x:alignment wrapText="1"/>
    </x:xf>
    <x:xf numFmtId="0" fontId="5" fillId="13" borderId="2" xfId="0" applyNumberFormat="1" applyFont="1" applyFill="1" applyBorder="1" applyAlignment="1">
      <x:alignment horizontal="center" wrapText="1"/>
    </x:xf>
    <x:xf numFmtId="0" fontId="5" fillId="13" borderId="2" xfId="0" applyNumberFormat="1" applyFont="1" applyFill="1" applyBorder="1" applyAlignment="1">
      <x:alignment horizontal="center" vertical="center" wrapText="1"/>
    </x:xf>
    <x:xf numFmtId="0" fontId="0" fillId="11" borderId="2" xfId="0" applyNumberFormat="1" applyFont="1" applyFill="1" applyBorder="1"/>
    <x:xf numFmtId="0" fontId="0" fillId="14" borderId="2" xfId="0" applyNumberFormat="1" applyFont="1" applyFill="1" applyBorder="1"/>
    <x:xf numFmtId="0" fontId="0" fillId="15" borderId="2" xfId="0" applyNumberFormat="1" applyFont="1" applyFill="1" applyBorder="1"/>
    <x:xf numFmtId="0" fontId="0"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wrapText="1"/>
    </x:xf>
    <x:xf numFmtId="0" fontId="6" fillId="14" borderId="0" xfId="0" applyNumberFormat="1" applyFont="1" applyFill="1" applyBorder="1" applyAlignment="1">
      <x:alignment vertical="center" wrapText="1"/>
    </x:xf>
    <x:xf numFmtId="0" fontId="0" fillId="12" borderId="2" xfId="0" applyNumberFormat="1" applyFont="1" applyFill="1" applyBorder="1"/>
    <x:xf numFmtId="0" fontId="0" fillId="12" borderId="2" xfId="0" applyNumberFormat="1" applyFont="1" applyFill="1" applyBorder="1" applyAlignment="1">
      <x:alignment wrapText="1"/>
    </x:xf>
    <x:xf numFmtId="0" fontId="0" fillId="12" borderId="2" xfId="0" applyNumberFormat="1" applyFont="1" applyFill="1" applyBorder="1" applyAlignment="1">
      <x:alignment vertical="center" wrapText="1"/>
    </x:xf>
    <x:xf numFmtId="0" fontId="7" fillId="0" borderId="0" xfId="0" applyNumberFormat="1" applyFont="1" applyFill="1" applyBorder="1"/>
    <x:xf numFmtId="0" fontId="8" fillId="13" borderId="2" xfId="0" applyNumberFormat="1" applyFont="1" applyFill="1" applyBorder="1" applyAlignment="1">
      <x:alignment horizontal="center" vertical="center" wrapText="1"/>
    </x:xf>
    <x:xf numFmtId="0" fontId="7" fillId="11" borderId="2" xfId="0" applyNumberFormat="1" applyFont="1" applyFill="1" applyBorder="1"/>
    <x:xf numFmtId="0" fontId="7" fillId="14" borderId="2" xfId="0" applyNumberFormat="1" applyFont="1" applyFill="1" applyBorder="1"/>
    <x:xf numFmtId="0" fontId="7" fillId="15" borderId="2" xfId="0" applyNumberFormat="1" applyFont="1" applyFill="1" applyBorder="1"/>
    <x:xf numFmtId="0" fontId="9" fillId="14" borderId="0" xfId="0" applyNumberFormat="1" applyFont="1" applyFill="1" applyBorder="1" applyAlignment="1">
      <x:alignment vertical="center" wrapText="1"/>
    </x:xf>
    <x:xf numFmtId="0" fontId="7" fillId="12" borderId="2" xfId="0" applyNumberFormat="1" applyFont="1" applyFill="1" applyBorder="1" applyAlignment="1">
      <x:alignment vertical="center" wrapText="1"/>
    </x:xf>
    <x:xf numFmtId="0" fontId="0" fillId="16" borderId="0" xfId="0" applyNumberFormat="1" applyFont="1" applyFill="1" applyBorder="1"/>
    <x:xf numFmtId="0" fontId="10" fillId="16" borderId="0" xfId="0" applyNumberFormat="1" applyFont="1" applyFill="1" applyBorder="1"/>
    <x:xf numFmtId="0" fontId="10" fillId="16" borderId="0" xfId="0" applyNumberFormat="1" applyFont="1" applyFill="1" applyBorder="1" applyAlignment="1">
      <x:alignment vertical="center"/>
    </x:xf>
    <x:xf numFmtId="0" fontId="8" fillId="13" borderId="2" xfId="0" applyNumberFormat="1" applyFont="1" applyFill="1" applyBorder="1"/>
    <x:xf numFmtId="0" fontId="8" fillId="13" borderId="2" xfId="0" applyNumberFormat="1" applyFont="1" applyFill="1" applyBorder="1" applyAlignment="1">
      <x:alignment wrapText="1"/>
    </x:xf>
    <x:xf numFmtId="0" fontId="8" fillId="13" borderId="2" xfId="0" applyNumberFormat="1" applyFont="1" applyFill="1" applyBorder="1" applyAlignment="1">
      <x:alignment horizontal="center" wrapText="1"/>
    </x:xf>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center" wrapText="1"/>
    </x:xf>
    <x:xf numFmtId="0" fontId="11" fillId="16" borderId="0" xfId="0" applyNumberFormat="1" applyFont="1" applyFill="1" applyBorder="1"/>
    <x:xf numFmtId="0" fontId="11" fillId="16" borderId="0" xfId="0" applyNumberFormat="1" applyFont="1" applyFill="1" applyBorder="1" applyAlignment="1">
      <x:alignment vertical="center"/>
    </x:xf>
    <x:xf numFmtId="0" fontId="3" fillId="11" borderId="2" xfId="0" applyNumberFormat="1" applyFont="1" applyFill="1" applyBorder="1"/>
    <x:xf numFmtId="0" fontId="3" fillId="14" borderId="2" xfId="0" applyNumberFormat="1" applyFont="1" applyFill="1" applyBorder="1"/>
    <x:xf numFmtId="0" fontId="3" fillId="15" borderId="2" xfId="0" applyNumberFormat="1" applyFont="1" applyFill="1" applyBorder="1"/>
    <x:xf numFmtId="0" fontId="3" fillId="11" borderId="2" xfId="0" applyNumberFormat="1" applyFont="1" applyFill="1" applyBorder="1" applyAlignment="1">
      <x:alignment wrapText="1"/>
    </x:xf>
    <x:xf numFmtId="0" fontId="3" fillId="14" borderId="2" xfId="0" applyNumberFormat="1" applyFont="1" applyFill="1" applyBorder="1" applyAlignment="1">
      <x:alignment wrapText="1"/>
    </x:xf>
    <x:xf numFmtId="0" fontId="3" fillId="15" borderId="2" xfId="0" applyNumberFormat="1" applyFont="1" applyFill="1" applyBorder="1" applyAlignment="1">
      <x:alignment wrapText="1"/>
    </x:xf>
    <x:xf numFmtId="0" fontId="3" fillId="11" borderId="2" xfId="0" applyNumberFormat="1" applyFont="1" applyFill="1" applyBorder="1" applyAlignment="1">
      <x:alignment vertical="center" wrapText="1"/>
    </x:xf>
    <x:xf numFmtId="0" fontId="3" fillId="14" borderId="2" xfId="0" applyNumberFormat="1" applyFont="1" applyFill="1" applyBorder="1" applyAlignment="1">
      <x:alignment vertical="center" wrapText="1"/>
    </x:xf>
    <x:xf numFmtId="0" fontId="3" fillId="15" borderId="2" xfId="0" applyNumberFormat="1" applyFont="1" applyFill="1" applyBorder="1" applyAlignment="1">
      <x:alignment vertical="center"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center" wrapText="1"/>
    </x:xf>
    <x:xf numFmtId="202" fontId="3" fillId="0" borderId="0" xfId="0" applyNumberFormat="1" applyFont="1" applyFill="1" applyBorder="1" applyAlignment="1">
      <x:alignment vertical="top" wrapText="1"/>
    </x:xf>
    <x:xf numFmtId="203" fontId="3" fillId="0" borderId="0" xfId="0" applyNumberFormat="1" applyFont="1" applyFill="1" applyBorder="1" applyAlignment="1">
      <x:alignment vertical="top" wrapText="1"/>
    </x:xf>
    <x:xf numFmtId="204" fontId="3" fillId="0" borderId="0" xfId="0" applyNumberFormat="1" applyFont="1" applyFill="1" applyBorder="1" applyAlignment="1">
      <x:alignment vertical="top" wrapText="1"/>
    </x:xf>
    <x:xf numFmtId="0" fontId="13" fillId="0" borderId="0" xfId="0" applyNumberFormat="1" applyFont="1" applyFill="1" applyBorder="1" applyAlignment="1">
      <x:alignment wrapText="1"/>
    </x:xf>
  </x:cellXfs>
  <x:cellStyles count="1">
    <x:cellStyle name="Normal" xfId="0"/>
  </x:cellStyles>
  <x:dxfs count="4">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e1f722e6c14197" /><Relationship Type="http://schemas.openxmlformats.org/officeDocument/2006/relationships/theme" Target="/xl/theme/theme1.xml" Id="R16dbb45509a84cef" /><Relationship Type="http://schemas.openxmlformats.org/officeDocument/2006/relationships/sharedStrings" Target="/xl/sharedStrings.xml" Id="R4d05f7693e20420c" /><Relationship Type="http://schemas.openxmlformats.org/officeDocument/2006/relationships/worksheet" Target="/xl/worksheets/sheet1.xml" Id="R8414a2774d08479a" /><Relationship Type="http://schemas.openxmlformats.org/officeDocument/2006/relationships/worksheet" Target="/xl/worksheets/sheet2.xml" Id="R546857de1cdc442e" /><Relationship Type="http://schemas.openxmlformats.org/officeDocument/2006/relationships/worksheet" Target="/xl/worksheets/sheet3.xml" Id="Ra64bd6ca216945c2" /><Relationship Type="http://schemas.openxmlformats.org/officeDocument/2006/relationships/worksheet" Target="/xl/worksheets/sheet4.xml" Id="R136a9fc69b4b4fff" /><Relationship Type="http://schemas.openxmlformats.org/officeDocument/2006/relationships/worksheet" Target="/xl/worksheets/sheet5.xml" Id="Re75d0f9fef904b62" /><Relationship Type="http://schemas.openxmlformats.org/officeDocument/2006/relationships/worksheet" Target="/xl/worksheets/sheet6.xml" Id="R7d9d740ebeaa49f7" /><Relationship Type="http://schemas.openxmlformats.org/officeDocument/2006/relationships/worksheet" Target="/xl/worksheets/sheet7.xml" Id="R0423ba326e294a6b" /><Relationship Type="http://schemas.openxmlformats.org/officeDocument/2006/relationships/worksheet" Target="/xl/worksheets/sheet8.xml" Id="R18c1ca5da1464657" /><Relationship Type="http://schemas.openxmlformats.org/officeDocument/2006/relationships/worksheet" Target="/xl/worksheets/sheet9.xml" Id="R0829edec92e64be3" /><Relationship Type="http://schemas.openxmlformats.org/officeDocument/2006/relationships/worksheet" Target="/xl/worksheets/sheet10.xml" Id="R7386c41acc7242d4" /><Relationship Type="http://schemas.openxmlformats.org/officeDocument/2006/relationships/worksheet" Target="/xl/worksheets/sheet11.xml" Id="R3cba84cecb4f4338" /><Relationship Type="http://schemas.openxmlformats.org/officeDocument/2006/relationships/worksheet" Target="/xl/worksheets/sheet12.xml" Id="Rb3328c811a7f4ba1" /><Relationship Type="http://schemas.openxmlformats.org/officeDocument/2006/relationships/worksheet" Target="/xl/worksheets/sheet13.xml" Id="R71b7417742634a08" /><Relationship Type="http://schemas.openxmlformats.org/officeDocument/2006/relationships/worksheet" Target="/xl/worksheets/sheet14.xml" Id="R0d28a51ab75b4007" /><Relationship Type="http://schemas.openxmlformats.org/officeDocument/2006/relationships/worksheet" Target="/xl/worksheets/sheet15.xml" Id="R2b244605b75c4967" /><Relationship Type="http://schemas.openxmlformats.org/officeDocument/2006/relationships/worksheet" Target="/xl/worksheets/sheet16.xml" Id="R326b845536604d2b" /><Relationship Type="http://schemas.openxmlformats.org/officeDocument/2006/relationships/worksheet" Target="/xl/worksheets/sheet17.xml" Id="R644818c03ec54ae5" /><Relationship Type="http://schemas.openxmlformats.org/officeDocument/2006/relationships/worksheet" Target="/xl/worksheets/sheet18.xml" Id="Ra9b8401fbe35472b" /><Relationship Type="http://schemas.openxmlformats.org/officeDocument/2006/relationships/worksheet" Target="/xl/worksheets/sheet19.xml" Id="R1c4b4098a8584c85" /><Relationship Type="http://schemas.openxmlformats.org/officeDocument/2006/relationships/worksheet" Target="/xl/worksheets/sheet20.xml" Id="R9c190bc571774867" /></Relationships>
</file>

<file path=xl/drawings/_rels/drawing1.xml.rels>&#65279;<?xml version="1.0" encoding="utf-8"?><Relationships xmlns="http://schemas.openxmlformats.org/package/2006/relationships"><Relationship Type="http://schemas.openxmlformats.org/officeDocument/2006/relationships/chart" Target="/xl/drawings/charts/chart1.xml" Id="R785bd9f94b364a4c" /></Relationships>
</file>

<file path=xl/drawings/_rels/drawing2.xml.rels>&#65279;<?xml version="1.0" encoding="utf-8"?><Relationships xmlns="http://schemas.openxmlformats.org/package/2006/relationships"><Relationship Type="http://schemas.openxmlformats.org/officeDocument/2006/relationships/chart" Target="/xl/drawings/charts/chart2.xml" Id="R122c1afeb9ff496c" /></Relationships>
</file>

<file path=xl/drawings/_rels/drawing3.xml.rels>&#65279;<?xml version="1.0" encoding="utf-8"?><Relationships xmlns="http://schemas.openxmlformats.org/package/2006/relationships"><Relationship Type="http://schemas.openxmlformats.org/officeDocument/2006/relationships/chart" Target="/xl/drawings/charts/chart3.xml" Id="Rbf4cd02f0dd045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Plant Module Growth Area</a:t>
            </a:r>
          </a:p>
        </c:rich>
      </c:tx>
    </c:title>
    <c:plotArea>
      <c:barChart>
        <c:barDir val="col"/>
        <c:grouping val="clustered"/>
        <c:varyColors val="0"/>
        <c:ser>
          <c:idx val="0"/>
          <c:order val="0"/>
          <c:tx>
            <c:v>Crop Area m²</c:v>
          </c:tx>
          <c:cat>
            <c:strRef>
              <c:f>'Plant Module'!$A$4:$A$7</c:f>
              <c:strCache>
                <c:ptCount val="0"/>
              </c:strCache>
            </c:strRef>
          </c:cat>
          <c:val>
            <c:numRef>
              <c:f>'Plant Module'!$B$4:$B$7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6-Crew vs 12-Crew Power Demand</a:t>
            </a:r>
          </a:p>
        </c:rich>
      </c:tx>
    </c:title>
    <c:plotArea>
      <c:barChart>
        <c:barDir val="col"/>
        <c:grouping val="clustered"/>
        <c:varyColors val="0"/>
        <c:ser>
          <c:idx val="0"/>
          <c:order val="0"/>
          <c:tx>
            <c:v>6 CREW</c:v>
          </c:tx>
          <c:cat>
            <c:strRef>
              <c:f>'Dashboard'!$A$4:$A$6</c:f>
              <c:strCache>
                <c:ptCount val="0"/>
              </c:strCache>
            </c:strRef>
          </c:cat>
          <c:val>
            <c:numRef>
              <c:f>'Dashboard'!$B$4:$B$6</c:f>
              <c:numCache>
                <c:formatCode>0.00</c:formatCode>
                <c:ptCount val="0"/>
              </c:numCache>
            </c:numRef>
          </c:val>
        </c:ser>
        <c:ser>
          <c:idx val="1"/>
          <c:order val="1"/>
          <c:tx>
            <c:v>12 CREW HANDOVER</c:v>
          </c:tx>
          <c:cat>
            <c:strRef>
              <c:f>'Dashboard'!$A$4:$A$6</c:f>
              <c:strCache>
                <c:ptCount val="0"/>
              </c:strCache>
            </c:strRef>
          </c:cat>
          <c:val>
            <c:numRef>
              <c:f>'Dashboard'!$C$4:$C$6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Planned Power Infrastructure Growth per Delivery</a:t>
            </a:r>
          </a:p>
        </c:rich>
      </c:tx>
    </c:title>
    <c:plotArea>
      <c:barChart>
        <c:barDir val="col"/>
        <c:grouping val="clustered"/>
        <c:varyColors val="0"/>
        <c:ser>
          <c:idx val="0"/>
          <c:order val="0"/>
          <c:tx>
            <c:v>Earliest Window</c:v>
          </c:tx>
          <c:cat>
            <c:strRef>
              <c:f>'Mission Buildout'!$A$4:$A$10</c:f>
              <c:strCache>
                <c:ptCount val="0"/>
              </c:strCache>
            </c:strRef>
          </c:cat>
          <c:val>
            <c:numRef>
              <c:f>'Mission Buildout'!$B$4:$B$10</c:f>
              <c:numCache>
                <c:formatCode>General</c:formatCode>
                <c:ptCount val="0"/>
              </c:numCache>
            </c:numRef>
          </c:val>
        </c:ser>
        <c:ser>
          <c:idx val="1"/>
          <c:order val="1"/>
          <c:tx>
            <c:v>NASA / Program Anchor</c:v>
          </c:tx>
          <c:cat>
            <c:strRef>
              <c:f>'Mission Buildout'!$A$4:$A$10</c:f>
              <c:strCache>
                <c:ptCount val="0"/>
              </c:strCache>
            </c:strRef>
          </c:cat>
          <c:val>
            <c:numRef>
              <c:f>'Mission Buildout'!$C$4:$C$10</c:f>
              <c:numCache>
                <c:formatCode>General</c:formatCode>
                <c:ptCount val="0"/>
              </c:numCache>
            </c:numRef>
          </c:val>
        </c:ser>
        <c:ser>
          <c:idx val="2"/>
          <c:order val="2"/>
          <c:tx>
            <c:v>Primary Delivery</c:v>
          </c:tx>
          <c:cat>
            <c:strRef>
              <c:f>'Mission Buildout'!$A$4:$A$10</c:f>
              <c:strCache>
                <c:ptCount val="0"/>
              </c:strCache>
            </c:strRef>
          </c:cat>
          <c:val>
            <c:numRef>
              <c:f>'Mission Buildout'!$D$4:$D$10</c:f>
              <c:numCache>
                <c:formatCode>General</c:formatCode>
                <c:ptCount val="0"/>
              </c:numCache>
            </c:numRef>
          </c:val>
        </c:ser>
        <c:ser>
          <c:idx val="3"/>
          <c:order val="3"/>
          <c:tx>
            <c:v>Nominal Payload Limit kg</c:v>
          </c:tx>
          <c:cat>
            <c:strRef>
              <c:f>'Mission Buildout'!$A$4:$A$10</c:f>
              <c:strCache>
                <c:ptCount val="0"/>
              </c:strCache>
            </c:strRef>
          </c:cat>
          <c:val>
            <c:numRef>
              <c:f>'Mission Buildout'!$E$4:$E$10</c:f>
              <c:numCache>
                <c:formatCode>0</c:formatCode>
                <c:ptCount val="0"/>
              </c:numCache>
            </c:numRef>
          </c:val>
        </c:ser>
        <c:ser>
          <c:idx val="4"/>
          <c:order val="4"/>
          <c:tx>
            <c:v>Power HW Allocation kg</c:v>
          </c:tx>
          <c:cat>
            <c:strRef>
              <c:f>'Mission Buildout'!$A$4:$A$10</c:f>
              <c:strCache>
                <c:ptCount val="0"/>
              </c:strCache>
            </c:strRef>
          </c:cat>
          <c:val>
            <c:numRef>
              <c:f>'Mission Buildout'!$F$4:$F$10</c:f>
              <c:numCache>
                <c:formatCode>0</c:formatCode>
                <c:ptCount val="0"/>
              </c:numCache>
            </c:numRef>
          </c:val>
        </c:ser>
        <c:ser>
          <c:idx val="5"/>
          <c:order val="5"/>
          <c:tx>
            <c:v>Battery kWh</c:v>
          </c:tx>
          <c:cat>
            <c:strRef>
              <c:f>'Mission Buildout'!$A$4:$A$10</c:f>
              <c:strCache>
                <c:ptCount val="0"/>
              </c:strCache>
            </c:strRef>
          </c:cat>
          <c:val>
            <c:numRef>
              <c:f>'Mission Buildout'!$G$4:$G$10</c:f>
              <c:numCache>
                <c:formatCode>0</c:formatCode>
                <c:ptCount val="0"/>
              </c:numCache>
            </c:numRef>
          </c:val>
        </c:ser>
        <c:ser>
          <c:idx val="6"/>
          <c:order val="6"/>
          <c:tx>
            <c:v>New Generation kW</c:v>
          </c:tx>
          <c:cat>
            <c:strRef>
              <c:f>'Mission Buildout'!$A$4:$A$10</c:f>
              <c:strCache>
                <c:ptCount val="0"/>
              </c:strCache>
            </c:strRef>
          </c:cat>
          <c:val>
            <c:numRef>
              <c:f>'Mission Buildout'!$H$4:$H$10</c:f>
              <c:numCache>
                <c:formatCode>0</c:formatCode>
                <c:ptCount val="0"/>
              </c:numCache>
            </c:numRef>
          </c:val>
        </c:ser>
        <c:ser>
          <c:idx val="7"/>
          <c:order val="7"/>
          <c:tx>
            <c:v>New Utility Nodes</c:v>
          </c:tx>
          <c:cat>
            <c:strRef>
              <c:f>'Mission Buildout'!$A$4:$A$10</c:f>
              <c:strCache>
                <c:ptCount val="0"/>
              </c:strCache>
            </c:strRef>
          </c:cat>
          <c:val>
            <c:numRef>
              <c:f>'Mission Buildout'!$I$4:$I$10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5bd9f94b364a4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20</xdr:row>
      <xdr:rowOff>0</xdr:rowOff>
    </xdr:from>
    <xdr:to>
      <xdr:col>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2c1afeb9ff496c"/>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18</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4cd02f0dd045c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2335a776d1cb42e7" /></Relationships>
</file>

<file path=xl/worksheets/_rels/sheet8.xml.rels>&#65279;<?xml version="1.0" encoding="utf-8"?><Relationships xmlns="http://schemas.openxmlformats.org/package/2006/relationships"><Relationship Type="http://schemas.openxmlformats.org/officeDocument/2006/relationships/drawing" Target="/xl/drawings/drawing2.xml" Id="R96a2733c4c1a48c4" /></Relationships>
</file>

<file path=xl/worksheets/_rels/sheet10.xml.rels>&#65279;<?xml version="1.0" encoding="utf-8"?><Relationships xmlns="http://schemas.openxmlformats.org/package/2006/relationships"><Relationship Type="http://schemas.openxmlformats.org/officeDocument/2006/relationships/drawing" Target="/xl/drawings/drawing3.xml" Id="R46a16bc464a74634"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3" max="3" width="16" hidden="0" customWidth="1"/>
    <x:col min="4" max="4" width="18" hidden="0" customWidth="1"/>
    <x:col min="5" max="5" width="42" hidden="0" customWidth="1"/>
    <x:col min="6" max="6" width="12" hidden="0" customWidth="1"/>
    <x:col min="7" max="7" width="12" hidden="0" customWidth="1"/>
    <x:col min="8" max="8" width="32" hidden="0" customWidth="1"/>
  </x:cols>
  <x:sheetData>
    <x:row r="1" ht="28" customHeight="1">
      <x:c r="A1" s="5" t="str">
        <x:v>Lunar South Pole Power Architecture — Editable Engineering Assumptions</x:v>
      </x:c>
    </x:row>
    <x:row r="3">
      <x:c r="A3" s="14" t="str">
        <x:v>Parameter</x:v>
      </x:c>
      <x:c r="B3" s="14" t="str">
        <x:v>Nominal Value</x:v>
      </x:c>
      <x:c r="C3" s="14" t="str">
        <x:v>Units</x:v>
      </x:c>
      <x:c r="D3" s="14" t="str">
        <x:v>Status</x:v>
      </x:c>
      <x:c r="E3" s="14" t="str">
        <x:v>Basis / Interpretation</x:v>
      </x:c>
      <x:c r="F3" s="14" t="str">
        <x:v>Low Case</x:v>
      </x:c>
      <x:c r="G3" s="14" t="str">
        <x:v>High Case</x:v>
      </x:c>
      <x:c r="H3" s="14" t="str">
        <x:v>Notes</x:v>
      </x:c>
    </x:row>
    <x:row r="4">
      <x:c r="A4" s="24" t="str">
        <x:v>Nominal crew</x:v>
      </x:c>
      <x:c r="B4" s="26" t="n">
        <x:v>6</x:v>
      </x:c>
      <x:c r="C4" s="24" t="str">
        <x:v>persons</x:v>
      </x:c>
      <x:c r="D4" s="24" t="str">
        <x:v>Scenario</x:v>
      </x:c>
      <x:c r="E4" s="24" t="str">
        <x:v>Normal occupied station</x:v>
      </x:c>
      <x:c r="F4" s="26" t="n">
        <x:v>6</x:v>
      </x:c>
      <x:c r="G4" s="26" t="n">
        <x:v>6</x:v>
      </x:c>
      <x:c r="H4" s="24" t="str">
        <x:v>Editable</x:v>
      </x:c>
    </x:row>
    <x:row r="5">
      <x:c r="A5" s="24" t="str">
        <x:v>Handover crew</x:v>
      </x:c>
      <x:c r="B5" s="26" t="n">
        <x:v>12</x:v>
      </x:c>
      <x:c r="C5" s="24" t="str">
        <x:v>persons</x:v>
      </x:c>
      <x:c r="D5" s="24" t="str">
        <x:v>Scenario</x:v>
      </x:c>
      <x:c r="E5" s="24" t="str">
        <x:v>Crew overlap / handover</x:v>
      </x:c>
      <x:c r="F5" s="26" t="n">
        <x:v>10</x:v>
      </x:c>
      <x:c r="G5" s="26" t="n">
        <x:v>12</x:v>
      </x:c>
      <x:c r="H5" s="24" t="str">
        <x:v>Editable</x:v>
      </x:c>
    </x:row>
    <x:row r="6">
      <x:c r="A6" s="24" t="str">
        <x:v>Nominal average base load</x:v>
      </x:c>
      <x:c r="B6" s="26" t="n">
        <x:v>12.5</x:v>
      </x:c>
      <x:c r="C6" s="24" t="str">
        <x:v>kW</x:v>
      </x:c>
      <x:c r="D6" s="24" t="str">
        <x:v>Engineering estimate</x:v>
      </x:c>
      <x:c r="E6" s="24" t="str">
        <x:v>Calibrated to ~300 kWh/day total station demand</x:v>
      </x:c>
      <x:c r="F6" s="26" t="n">
        <x:v>10</x:v>
      </x:c>
      <x:c r="G6" s="26" t="n">
        <x:v>15</x:v>
      </x:c>
      <x:c r="H6" s="24" t="str">
        <x:v>Not a NASA requirement</x:v>
      </x:c>
    </x:row>
    <x:row r="7">
      <x:c r="A7" s="24" t="str">
        <x:v>Handover average base load</x:v>
      </x:c>
      <x:c r="B7" s="26" t="n">
        <x:v>17.5</x:v>
      </x:c>
      <x:c r="C7" s="24" t="str">
        <x:v>kW</x:v>
      </x:c>
      <x:c r="D7" s="24" t="str">
        <x:v>Engineering estimate</x:v>
      </x:c>
      <x:c r="E7" s="24" t="str">
        <x:v>Fixed loads + higher crew-variable loads</x:v>
      </x:c>
      <x:c r="F7" s="26" t="n">
        <x:v>15</x:v>
      </x:c>
      <x:c r="G7" s="26" t="n">
        <x:v>22</x:v>
      </x:c>
      <x:c r="H7" s="24" t="str">
        <x:v>Not simply 2× because many loads are fixed</x:v>
      </x:c>
    </x:row>
    <x:row r="8">
      <x:c r="A8" s="24" t="str">
        <x:v>Nominal peak demand multiplier</x:v>
      </x:c>
      <x:c r="B8" s="26" t="n">
        <x:v>1.65</x:v>
      </x:c>
      <x:c r="C8" s="24" t="str">
        <x:v>x average</x:v>
      </x:c>
      <x:c r="D8" s="24" t="str">
        <x:v>Engineering estimate</x:v>
      </x:c>
      <x:c r="E8" s="24" t="str">
        <x:v>Short-duration concurrent load peak</x:v>
      </x:c>
      <x:c r="F8" s="26" t="n">
        <x:v>1.4</x:v>
      </x:c>
      <x:c r="G8" s="26" t="n">
        <x:v>2</x:v>
      </x:c>
      <x:c r="H8" s="24" t="str">
        <x:v>Used for panel sizing</x:v>
      </x:c>
    </x:row>
    <x:row r="9">
      <x:c r="A9" s="24" t="str">
        <x:v>Handover peak demand multiplier</x:v>
      </x:c>
      <x:c r="B9" s="26" t="n">
        <x:v>1.75</x:v>
      </x:c>
      <x:c r="C9" s="24" t="str">
        <x:v>x average</x:v>
      </x:c>
      <x:c r="D9" s="24" t="str">
        <x:v>Engineering estimate</x:v>
      </x:c>
      <x:c r="E9" s="24" t="str">
        <x:v>Higher galley/ECLSS/charging concurrency</x:v>
      </x:c>
      <x:c r="F9" s="26" t="n">
        <x:v>1.5</x:v>
      </x:c>
      <x:c r="G9" s="26" t="n">
        <x:v>2.1</x:v>
      </x:c>
      <x:c r="H9" s="24" t="str">
        <x:v>Used for panel sizing</x:v>
      </x:c>
    </x:row>
    <x:row r="10">
      <x:c r="A10" s="24" t="str">
        <x:v>Primary local bus</x:v>
      </x:c>
      <x:c r="B10" s="26" t="n">
        <x:v>120</x:v>
      </x:c>
      <x:c r="C10" s="24" t="str">
        <x:v>VDC</x:v>
      </x:c>
      <x:c r="D10" s="24" t="str">
        <x:v>NASA/ISPSIS</x:v>
      </x:c>
      <x:c r="E10" s="24" t="str">
        <x:v>NASA surface power exchange requirement for nearby elements</x:v>
      </x:c>
      <x:c r="F10" s="26" t="n">
        <x:v>120</x:v>
      </x:c>
      <x:c r="G10" s="26" t="n">
        <x:v>120</x:v>
      </x:c>
      <x:c r="H10" s="24" t="str">
        <x:v>Use local distribution near habitat cluster</x:v>
      </x:c>
    </x:row>
    <x:row r="11">
      <x:c r="A11" s="24" t="str">
        <x:v>Long-distance trunk design voltage</x:v>
      </x:c>
      <x:c r="B11" s="26" t="n">
        <x:v>800</x:v>
      </x:c>
      <x:c r="C11" s="24" t="str">
        <x:v>VDC</x:v>
      </x:c>
      <x:c r="D11" s="24" t="str">
        <x:v>Engineering trade</x:v>
      </x:c>
      <x:c r="E11" s="24" t="str">
        <x:v>Illustrative HVDC trunk for lower cable current; final value TBD</x:v>
      </x:c>
      <x:c r="F11" s="26" t="n">
        <x:v>600</x:v>
      </x:c>
      <x:c r="G11" s="26" t="n">
        <x:v>1000</x:v>
      </x:c>
      <x:c r="H11" s="24" t="str">
        <x:v>Not a NASA standard</x:v>
      </x:c>
    </x:row>
    <x:row r="12">
      <x:c r="A12" s="24" t="str">
        <x:v>Local DC/DC efficiency</x:v>
      </x:c>
      <x:c r="B12" s="26" t="n">
        <x:v>0.95</x:v>
      </x:c>
      <x:c r="C12" s="24" t="str">
        <x:v>fraction</x:v>
      </x:c>
      <x:c r="D12" s="24" t="str">
        <x:v>Engineering estimate</x:v>
      </x:c>
      <x:c r="E12" s="24" t="str">
        <x:v>Conversion from trunk/local buses</x:v>
      </x:c>
      <x:c r="F12" s="26" t="n">
        <x:v>0.92</x:v>
      </x:c>
      <x:c r="G12" s="26" t="n">
        <x:v>0.97</x:v>
      </x:c>
      <x:c r="H12" s="24" t="str">
        <x:v>Editable</x:v>
      </x:c>
    </x:row>
    <x:row r="13">
      <x:c r="A13" s="24" t="str">
        <x:v>Feeder design margin</x:v>
      </x:c>
      <x:c r="B13" s="26" t="n">
        <x:v>1.25</x:v>
      </x:c>
      <x:c r="C13" s="24" t="str">
        <x:v>x current</x:v>
      </x:c>
      <x:c r="D13" s="24" t="str">
        <x:v>Engineering practice</x:v>
      </x:c>
      <x:c r="E13" s="24" t="str">
        <x:v>Breaker / conductor sizing basis</x:v>
      </x:c>
      <x:c r="F13" s="26" t="n">
        <x:v>1.2</x:v>
      </x:c>
      <x:c r="G13" s="26" t="n">
        <x:v>1.5</x:v>
      </x:c>
      <x:c r="H13" s="24" t="str">
        <x:v>Not certification guidance</x:v>
      </x:c>
    </x:row>
    <x:row r="14">
      <x:c r="A14" s="24" t="str">
        <x:v>Initial plant grow area</x:v>
      </x:c>
      <x:c r="B14" s="26" t="n">
        <x:v>25</x:v>
      </x:c>
      <x:c r="C14" s="24" t="str">
        <x:v>m² crop area</x:v>
      </x:c>
      <x:c r="D14" s="24" t="str">
        <x:v>Architecture choice</x:v>
      </x:c>
      <x:c r="E14" s="24" t="str">
        <x:v>Early expandable food/science module</x:v>
      </x:c>
      <x:c r="F14" s="26" t="n">
        <x:v>10</x:v>
      </x:c>
      <x:c r="G14" s="26" t="n">
        <x:v>50</x:v>
      </x:c>
      <x:c r="H14" s="24" t="str">
        <x:v>Stacked area can exceed floor area</x:v>
      </x:c>
    </x:row>
    <x:row r="15">
      <x:c r="A15" s="24" t="str">
        <x:v>Expanded plant grow area</x:v>
      </x:c>
      <x:c r="B15" s="26" t="n">
        <x:v>100</x:v>
      </x:c>
      <x:c r="C15" s="24" t="str">
        <x:v>m² crop area</x:v>
      </x:c>
      <x:c r="D15" s="24" t="str">
        <x:v>Architecture choice</x:v>
      </x:c>
      <x:c r="E15" s="24" t="str">
        <x:v>Expansion stage</x:v>
      </x:c>
      <x:c r="F15" s="26" t="n">
        <x:v>50</x:v>
      </x:c>
      <x:c r="G15" s="26" t="n">
        <x:v>200</x:v>
      </x:c>
      <x:c r="H15" s="24" t="str">
        <x:v>Still below full-food requirement</x:v>
      </x:c>
    </x:row>
    <x:row r="16">
      <x:c r="A16" s="24" t="str">
        <x:v>Reference full-food crop area for 6</x:v>
      </x:c>
      <x:c r="B16" s="26" t="n">
        <x:v>650</x:v>
      </x:c>
      <x:c r="C16" s="24" t="str">
        <x:v>m² crop area</x:v>
      </x:c>
      <x:c r="D16" s="24" t="str">
        <x:v>Published estimate</x:v>
      </x:c>
      <x:c r="E16" s="24" t="str">
        <x:v>Hasenstein et al. 2026 citing Zeidler et al. 2017</x:v>
      </x:c>
      <x:c r="F16" s="26" t="n">
        <x:v>500</x:v>
      </x:c>
      <x:c r="G16" s="26" t="n">
        <x:v>800</x:v>
      </x:c>
      <x:c r="H16" s="24" t="str">
        <x:v>Order-of-magnitude planning figure</x:v>
      </x:c>
    </x:row>
    <x:row r="17">
      <x:c r="A17" s="24" t="str">
        <x:v>Plant LED electrical density</x:v>
      </x:c>
      <x:c r="B17" s="26" t="n">
        <x:v>150</x:v>
      </x:c>
      <x:c r="C17" s="24" t="str">
        <x:v>W/m² lit</x:v>
      </x:c>
      <x:c r="D17" s="24" t="str">
        <x:v>Engineering estimate</x:v>
      </x:c>
      <x:c r="E17" s="24" t="str">
        <x:v>Efficient horticultural LED electrical input</x:v>
      </x:c>
      <x:c r="F17" s="26" t="n">
        <x:v>100</x:v>
      </x:c>
      <x:c r="G17" s="26" t="n">
        <x:v>220</x:v>
      </x:c>
      <x:c r="H17" s="24" t="str">
        <x:v>Before daylight offset</x:v>
      </x:c>
    </x:row>
    <x:row r="18">
      <x:c r="A18" s="24" t="str">
        <x:v>Plant photoperiod</x:v>
      </x:c>
      <x:c r="B18" s="26" t="n">
        <x:v>16</x:v>
      </x:c>
      <x:c r="C18" s="24" t="str">
        <x:v>h/day</x:v>
      </x:c>
      <x:c r="D18" s="24" t="str">
        <x:v>Engineering estimate</x:v>
      </x:c>
      <x:c r="E18" s="24" t="str">
        <x:v>Crop-dependent baseline</x:v>
      </x:c>
      <x:c r="F18" s="26" t="n">
        <x:v>12</x:v>
      </x:c>
      <x:c r="G18" s="26" t="n">
        <x:v>18</x:v>
      </x:c>
      <x:c r="H18" s="24" t="str">
        <x:v>Editable</x:v>
      </x:c>
    </x:row>
    <x:row r="19">
      <x:c r="A19" s="24" t="str">
        <x:v>Optical sunlight contribution</x:v>
      </x:c>
      <x:c r="B19" s="26" t="n">
        <x:v>0.7</x:v>
      </x:c>
      <x:c r="C19" s="24" t="str">
        <x:v>fraction of lighting energy</x:v>
      </x:c>
      <x:c r="D19" s="24" t="str">
        <x:v>Architecture target</x:v>
      </x:c>
      <x:c r="E19" s="24" t="str">
        <x:v>Solar concentrator/light-pipe offset</x:v>
      </x:c>
      <x:c r="F19" s="26" t="n">
        <x:v>0.3</x:v>
      </x:c>
      <x:c r="G19" s="26" t="n">
        <x:v>0.85</x:v>
      </x:c>
      <x:c r="H19" s="24" t="str">
        <x:v>Requires site-specific validation</x:v>
      </x:c>
    </x:row>
    <x:row r="20">
      <x:c r="A20" s="24" t="str">
        <x:v>Plant non-lighting load</x:v>
      </x:c>
      <x:c r="B20" s="26" t="n">
        <x:v>0.75</x:v>
      </x:c>
      <x:c r="C20" s="24" t="str">
        <x:v>kW</x:v>
      </x:c>
      <x:c r="D20" s="24" t="str">
        <x:v>Engineering estimate</x:v>
      </x:c>
      <x:c r="E20" s="24" t="str">
        <x:v>Pumps, fans, controls, sensors, nutrient handling</x:v>
      </x:c>
      <x:c r="F20" s="26" t="n">
        <x:v>0.4</x:v>
      </x:c>
      <x:c r="G20" s="26" t="n">
        <x:v>1.5</x:v>
      </x:c>
      <x:c r="H20" s="24" t="str">
        <x:v>Initial module</x:v>
      </x:c>
    </x:row>
    <x:row r="21">
      <x:c r="A21" s="24" t="str">
        <x:v>Battery usable fraction</x:v>
      </x:c>
      <x:c r="B21" s="26" t="n">
        <x:v>0.8</x:v>
      </x:c>
      <x:c r="C21" s="24" t="str">
        <x:v>fraction</x:v>
      </x:c>
      <x:c r="D21" s="24" t="str">
        <x:v>Engineering estimate</x:v>
      </x:c>
      <x:c r="E21" s="24" t="str">
        <x:v>Operational DoD reserve</x:v>
      </x:c>
      <x:c r="F21" s="26" t="n">
        <x:v>0.6</x:v>
      </x:c>
      <x:c r="G21" s="26" t="n">
        <x:v>0.9</x:v>
      </x:c>
      <x:c r="H21" s="24" t="str">
        <x:v>Editable</x:v>
      </x:c>
    </x:row>
    <x:row r="22">
      <x:c r="A22" s="24" t="str">
        <x:v>Critical autonomy target</x:v>
      </x:c>
      <x:c r="B22" s="26" t="n">
        <x:v>12</x:v>
      </x:c>
      <x:c r="C22" s="24" t="str">
        <x:v>hours</x:v>
      </x:c>
      <x:c r="D22" s="24" t="str">
        <x:v>Architecture choice</x:v>
      </x:c>
      <x:c r="E22" s="24" t="str">
        <x:v>Battery-supported critical-load endurance</x:v>
      </x:c>
      <x:c r="F22" s="26" t="n">
        <x:v>6</x:v>
      </x:c>
      <x:c r="G22" s="26" t="n">
        <x:v>24</x:v>
      </x:c>
      <x:c r="H22" s="24" t="str">
        <x:v>Fission reduces required duration</x:v>
      </x:c>
    </x:row>
    <x:row r="23">
      <x:c r="A23" s="20" t="str">
        <x:v>Utility Node warm-core survival load</x:v>
      </x:c>
      <x:c r="B23" s="34" t="n">
        <x:v>0.75</x:v>
      </x:c>
      <x:c r="C23" s="20" t="str">
        <x:v>kW</x:v>
      </x:c>
      <x:c r="D23" s="20" t="str">
        <x:v>Engineering assumption</x:v>
      </x:c>
      <x:c r="E23" s="20" t="str">
        <x:v>Average warm-core survival demand for battery, BMS, EMS, network/telemetry, critical switchgear, and thermal conditioning when recoverable waste heat is unavailable</x:v>
      </x:c>
      <x:c r="F23" s="34" t="n">
        <x:v>0.5</x:v>
      </x:c>
      <x:c r="G23" s="34" t="n">
        <x:v>1</x:v>
      </x:c>
      <x:c r="H23" s="20" t="str">
        <x:v>Conservative baseline pending component-level thermal model</x:v>
      </x:c>
    </x:row>
    <x:row r="24">
      <x:c r="A24" s="20" t="str">
        <x:v>Recoverable converter/PMAD waste heat</x:v>
      </x:c>
      <x:c r="B24" s="34" t="n">
        <x:v>0.5</x:v>
      </x:c>
      <x:c r="C24" s="20" t="str">
        <x:v>fraction</x:v>
      </x:c>
      <x:c r="D24" s="20" t="str">
        <x:v>Engineering assumption</x:v>
      </x:c>
      <x:c r="E24" s="20" t="str">
        <x:v>Fraction of conversion waste heat that can be routed usefully to the warm core during normal operation</x:v>
      </x:c>
      <x:c r="F24" s="34" t="n">
        <x:v>0.25</x:v>
      </x:c>
      <x:c r="G24" s="34" t="n">
        <x:v>0.75</x:v>
      </x:c>
      <x:c r="H24" s="20" t="str">
        <x:v>Does not count as assured heat during source outage</x:v>
      </x:c>
    </x:row>
    <x:row r="25">
      <x:c r="A25" s="20" t="str">
        <x:v>Warm-core target band</x:v>
      </x:c>
      <x:c r="B25" s="34"/>
      <x:c r="C25" s="20" t="str">
        <x:v>5–20 °C</x:v>
      </x:c>
      <x:c r="D25" s="20" t="str">
        <x:v>Architecture target</x:v>
      </x:c>
      <x:c r="E25" s="20" t="str">
        <x:v>Battery and critical controls maintained in an operational thermal envelope</x:v>
      </x:c>
      <x:c r="F25" s="34"/>
      <x:c r="G25" s="34"/>
      <x:c r="H25" s="20" t="str">
        <x:v>Exact cell/vendor limits to replace this assumption</x:v>
      </x:c>
    </x:row>
    <x:row r="26">
      <x:c r="A26" s="20" t="str">
        <x:v>Thermal-survival sizing interval</x:v>
      </x:c>
      <x:c r="B26" s="34" t="n">
        <x:v>12</x:v>
      </x:c>
      <x:c r="C26" s="20" t="str">
        <x:v>h</x:v>
      </x:c>
      <x:c r="D26" s="20" t="str">
        <x:v>Architecture choice</x:v>
      </x:c>
      <x:c r="E26" s="20" t="str">
        <x:v>Same baseline interval as critical electrical autonomy for current South Pole scenario</x:v>
      </x:c>
      <x:c r="F26" s="34" t="n">
        <x:v>6</x:v>
      </x:c>
      <x:c r="G26" s="34" t="n">
        <x:v>48</x:v>
      </x:c>
      <x:c r="H26" s="20" t="str">
        <x:v>Site illumination history must replace this assumption</x:v>
      </x:c>
    </x:row>
    <x:row r="27">
      <x:c r="A27" s="20" t="str">
        <x:v>Full cold-soak battery operation</x:v>
      </x:c>
      <x:c r="B27" s="34"/>
      <x:c r="C27" s="20" t="str">
        <x:v>Not baseline</x:v>
      </x:c>
      <x:c r="D27" s="20" t="str">
        <x:v>Architecture rule</x:v>
      </x:c>
      <x:c r="E27" s="20" t="str">
        <x:v>Freeze/thaw hibernation remains a robotic/contingency technology path, not the crewed operational baseline</x:v>
      </x:c>
      <x:c r="F27" s="34"/>
      <x:c r="G27" s="34"/>
      <x:c r="H27" s="20" t="str">
        <x:v>NASA cold-electronics work supports survivability testing, not normal frozen operation</x:v>
      </x:c>
    </x:row>
    <x:row r="28">
      <x:c r="A28" s="24" t="str">
        <x:v>Battery-only refuge bridge target</x:v>
      </x:c>
      <x:c r="B28" s="26" t="n">
        <x:v>24</x:v>
      </x:c>
      <x:c r="C28" s="24" t="str">
        <x:v>h</x:v>
      </x:c>
      <x:c r="D28" s="24" t="str">
        <x:v>LOGIC engineering requirement</x:v>
      </x:c>
      <x:c r="E28" s="24" t="str">
        <x:v>Minimum guaranteed crew refuge endurance with zero external generation</x:v>
      </x:c>
      <x:c r="F28" s="26" t="n">
        <x:v>12</x:v>
      </x:c>
      <x:c r="G28" s="26" t="n">
        <x:v>48</x:v>
      </x:c>
      <x:c r="H28" s="24" t="str">
        <x:v>Not a NASA requirement</x:v>
      </x:c>
    </x:row>
    <x:row r="29">
      <x:c r="A29" s="24" t="str">
        <x:v>Crew safe-haven target</x:v>
      </x:c>
      <x:c r="B29" s="26" t="n">
        <x:v>168</x:v>
      </x:c>
      <x:c r="C29" s="24" t="str">
        <x:v>h</x:v>
      </x:c>
      <x:c r="D29" s="24" t="str">
        <x:v>LOGIC engineering requirement</x:v>
      </x:c>
      <x:c r="E29" s="24" t="str">
        <x:v>Minimum livable refuge duration using surviving generation + storage</x:v>
      </x:c>
      <x:c r="F29" s="26" t="n">
        <x:v>72</x:v>
      </x:c>
      <x:c r="G29" s="26" t="n">
        <x:v>336</x:v>
      </x:c>
      <x:c r="H29" s="24" t="str">
        <x:v>7 days minimum; 14-day stretch case tracked separately</x:v>
      </x:c>
    </x:row>
    <x:row r="30">
      <x:c r="A30" s="24" t="str">
        <x:v>6-crew refuge load</x:v>
      </x:c>
      <x:c r="B30" s="26" t="n">
        <x:v>5.25</x:v>
      </x:c>
      <x:c r="C30" s="24" t="str">
        <x:v>kW</x:v>
      </x:c>
      <x:c r="D30" s="24" t="str">
        <x:v>Engineering estimate</x:v>
      </x:c>
      <x:c r="E30" s="24" t="str">
        <x:v>Reduced-volume ECLSS + thermal + command + comms + medical/min lighting + Utility Node warm core</x:v>
      </x:c>
      <x:c r="F30" s="26" t="n">
        <x:v>4.5</x:v>
      </x:c>
      <x:c r="G30" s="26" t="n">
        <x:v>6.5</x:v>
      </x:c>
      <x:c r="H30" s="24" t="str">
        <x:v>Refuge-mode value, not nominal habitat load</x:v>
      </x:c>
    </x:row>
    <x:row r="31">
      <x:c r="A31" s="24" t="str">
        <x:v>12-crew refuge load</x:v>
      </x:c>
      <x:c r="B31" s="26" t="n">
        <x:v>6.75</x:v>
      </x:c>
      <x:c r="C31" s="24" t="str">
        <x:v>kW</x:v>
      </x:c>
      <x:c r="D31" s="24" t="str">
        <x:v>Engineering estimate</x:v>
      </x:c>
      <x:c r="E31" s="24" t="str">
        <x:v>Handover contingency; higher ECLSS/thermal requirement</x:v>
      </x:c>
      <x:c r="F31" s="24" t="n">
        <x:v>5.5</x:v>
      </x:c>
      <x:c r="G31" s="24" t="n">
        <x:v>8</x:v>
      </x:c>
      <x:c r="H31" s="24" t="str">
        <x:v>Short-duration overlap contingency</x:v>
      </x:c>
    </x:row>
    <x:row r="32">
      <x:c r="A32" s="24" t="str">
        <x:v>Minimum surviving generation for 7-day refuge</x:v>
      </x:c>
      <x:c r="B32" s="26" t="n">
        <x:v>5</x:v>
      </x:c>
      <x:c r="C32" s="24" t="str">
        <x:v>kW</x:v>
      </x:c>
      <x:c r="D32" s="24" t="str">
        <x:v>Architecture target</x:v>
      </x:c>
      <x:c r="E32" s="24" t="str">
        <x:v>Independent generation path required so rescue endurance is not battery-only</x:v>
      </x:c>
      <x:c r="F32" s="24" t="n">
        <x:v>4.5</x:v>
      </x:c>
      <x:c r="G32" s="24" t="n">
        <x:v>7</x:v>
      </x:c>
      <x:c r="H32" s="24" t="str">
        <x:v>Approximate; derived sheet computes exact requirement</x:v>
      </x:c>
    </x:row>
    <x:row r="33">
      <x:c r="A33" s="24" t="str">
        <x:v>Deep-space rescue planning note</x:v>
      </x:c>
      <x:c r="B33" s="24" t="n">
        <x:v>168</x:v>
      </x:c>
      <x:c r="C33" s="24" t="str">
        <x:v>h minimum</x:v>
      </x:c>
      <x:c r="D33" s="24" t="str">
        <x:v>Architecture rule</x:v>
      </x:c>
      <x:c r="E33" s="24" t="str">
        <x:v>Earth-launched rescue cannot be assumed within a one-day battery window; outbound lunar transit alone is approximately four days after translunar injection</x:v>
      </x:c>
      <x:c r="F33" s="24"/>
      <x:c r="G33" s="24"/>
      <x:c r="H33" s="24" t="str">
        <x:v>Launch readiness, rendezvous, landing, and surface transfer add uncertainty</x:v>
      </x:c>
    </x:row>
    <x:row r="35">
      <x:c r="A35" s="148" t="str">
        <x:v>Model status</x:v>
      </x:c>
      <x:c r="B35" s="148" t="str">
        <x:v>WORK IN PROGRESS</x:v>
      </x:c>
      <x:c r="C35" s="148" t="str">
        <x:v>Version</x:v>
      </x:c>
      <x:c r="D35" s="148" t="str">
        <x:v>v6.1</x:v>
      </x:c>
      <x:c r="E35" s="148" t="str">
        <x:v>Non-material audit correction; architecture conclusions and 300/420 kWh/day occupied baselines unchanged</x:v>
      </x:c>
      <x:c r="F35" s="148"/>
      <x:c r="G35" s="148"/>
      <x:c r="H35" s="148" t="str">
        <x:v>Values remain engineering assumptions pending hardware and site validation</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34" hidden="0" customWidth="1"/>
    <x:col min="3" max="3" width="28" hidden="0" customWidth="1"/>
    <x:col min="4" max="4" width="38" hidden="0" customWidth="1"/>
    <x:col min="5" max="5" width="30" hidden="0" customWidth="1"/>
    <x:col min="6" max="6" width="36" hidden="0" customWidth="1"/>
    <x:col min="7" max="7" width="22" hidden="0" customWidth="1"/>
    <x:col min="8" max="8" width="30" hidden="0" customWidth="1"/>
  </x:cols>
  <x:sheetData>
    <x:row r="1" ht="28" customHeight="1">
      <x:c r="A1" s="5" t="str">
        <x:v>NASA-Aligned Lunar Surface Build Sequence (2026–2036)</x:v>
      </x:c>
    </x:row>
    <x:row r="3">
      <x:c r="A3" s="14" t="str">
        <x:v>Year/Phase</x:v>
      </x:c>
      <x:c r="B3" s="14" t="str">
        <x:v>NASA Architecture Context</x:v>
      </x:c>
      <x:c r="C3" s="14" t="str">
        <x:v>Habitation</x:v>
      </x:c>
      <x:c r="D3" s="14" t="str">
        <x:v>Power Infrastructure</x:v>
      </x:c>
      <x:c r="E3" s="14" t="str">
        <x:v>Mobility/Logistics</x:v>
      </x:c>
      <x:c r="F3" s="14" t="str">
        <x:v>Our Plant Module</x:v>
      </x:c>
      <x:c r="G3" s="14" t="str">
        <x:v>Model Status</x:v>
      </x:c>
      <x:c r="H3" s="14" t="str">
        <x:v>Source</x:v>
      </x:c>
    </x:row>
    <x:row r="4">
      <x:c r="A4" s="24" t="str">
        <x:v>2026-2028 / Phase 1</x:v>
      </x:c>
      <x:c r="B4" s="24" t="str">
        <x:v>Build, Test, Learn; 1 centralized South Pole site with up to 3 assets</x:v>
      </x:c>
      <x:c r="C4" s="24" t="str">
        <x:v>No permanent surface crew assumed</x:v>
      </x:c>
      <x:c r="D4" s="24" t="str">
        <x:v>Asset-local power; VSAT maturation; storage; cable/power exchange demos</x:v>
      </x:c>
      <x:c r="E4" s="24" t="str">
        <x:v>CLPS/cargo/rovers grow</x:v>
      </x:c>
      <x:c r="F4" s="24" t="str">
        <x:v>Plant tech demos / packaged growth payloads</x:v>
      </x:c>
      <x:c r="G4" s="24" t="str">
        <x:v>NASA-aligned</x:v>
      </x:c>
      <x:c r="H4" s="24" t="str">
        <x:v>NASA SCaN 2026 / Moon Base Phase 1</x:v>
      </x:c>
    </x:row>
    <x:row r="5">
      <x:c r="A5" s="24" t="str">
        <x:v>2028</x:v>
      </x:c>
      <x:c r="B5" s="24" t="str">
        <x:v>Foundational deliveries increase</x:v>
      </x:c>
      <x:c r="C5" s="24" t="str">
        <x:v>Crewed surface return architecture; short stays</x:v>
      </x:c>
      <x:c r="D5" s="24" t="str">
        <x:v>10 kW-class VSAT technology path; self-sufficient elements exchange power at 120 VDC</x:v>
      </x:c>
      <x:c r="E5" s="24" t="str">
        <x:v>Cargo landers and lunar vehicles expand</x:v>
      </x:c>
      <x:c r="F5" s="24" t="str">
        <x:v>No dedicated food module yet; test crop hardware</x:v>
      </x:c>
      <x:c r="G5" s="24" t="str">
        <x:v>NASA + engineering integration</x:v>
      </x:c>
      <x:c r="H5" s="24" t="str">
        <x:v>NASA TechPort / NTRS</x:v>
      </x:c>
    </x:row>
    <x:row r="6">
      <x:c r="A6" s="24" t="str">
        <x:v>2029-2030 / Phase 2</x:v>
      </x:c>
      <x:c r="B6" s="24" t="str">
        <x:v>Establish Early Infrastructure; 3 centralized sites with 3-5 assets per site</x:v>
      </x:c>
      <x:c r="C6" s="24" t="str">
        <x:v>Initial pressurized modules for short-duration stays</x:v>
      </x:c>
      <x:c r="D6" s="24" t="str">
        <x:v>Improved solar + initial nuclear-based power; Lunar Reactor-1 target 2030</x:v>
      </x:c>
      <x:c r="E6" s="24" t="str">
        <x:v>Surface mating/logistics capability grows</x:v>
      </x:c>
      <x:c r="F6" s="24" t="str">
        <x:v>Deploy first 25 m² crop-area plant module if logistics allow</x:v>
      </x:c>
      <x:c r="G6" s="24" t="str">
        <x:v>Architecture option</x:v>
      </x:c>
      <x:c r="H6" s="24" t="str">
        <x:v>NASA SCaN 2026 / Moon Base Phase 2</x:v>
      </x:c>
    </x:row>
    <x:row r="7">
      <x:c r="A7" s="24" t="str">
        <x:v>2030</x:v>
      </x:c>
      <x:c r="B7" s="24" t="str">
        <x:v>NASA target for first lunar fission reactor</x:v>
      </x:c>
      <x:c r="C7" s="24" t="str">
        <x:v>Early habitat cluster</x:v>
      </x:c>
      <x:c r="D7" s="24" t="str">
        <x:v>≥40 kW-class fission surface power becomes baseload candidate</x:v>
      </x:c>
      <x:c r="E7" s="24" t="str">
        <x:v>Expanded cargo and rover support</x:v>
      </x:c>
      <x:c r="F7" s="24" t="str">
        <x:v>Plant module moves from science-only toward partial food contribution</x:v>
      </x:c>
      <x:c r="G7" s="24" t="str">
        <x:v>NASA target + model choice</x:v>
      </x:c>
      <x:c r="H7" s="24" t="str">
        <x:v>NASA/DOE 2026</x:v>
      </x:c>
    </x:row>
    <x:row r="8">
      <x:c r="A8" s="24" t="str">
        <x:v>2031–2032</x:v>
      </x:c>
      <x:c r="B8" s="24" t="str">
        <x:v>Phase 2 approaches sustained infrastructure</x:v>
      </x:c>
      <x:c r="C8" s="24" t="str">
        <x:v>Multiple modules / greater occupancy</x:v>
      </x:c>
      <x:c r="D8" s="24" t="str">
        <x:v>Hybrid solar + fission + storage + distributed feeders</x:v>
      </x:c>
      <x:c r="E8" s="24" t="str">
        <x:v>Pressurized mobility/logistics maturation</x:v>
      </x:c>
      <x:c r="F8" s="24" t="str">
        <x:v>Expand to 50–100 m² crop area; daylight-concentrator integration</x:v>
      </x:c>
      <x:c r="G8" s="24" t="str">
        <x:v>Engineering scenario</x:v>
      </x:c>
      <x:c r="H8" s="24" t="str">
        <x:v>NASA phase plan</x:v>
      </x:c>
    </x:row>
    <x:row r="9">
      <x:c r="A9" s="24" t="str">
        <x:v>2033+ / Phase 3</x:v>
      </x:c>
      <x:c r="B9" s="24" t="str">
        <x:v>Sustained Human Presence; 3-5+ sites with 5+ assets per site</x:v>
      </x:c>
      <x:c r="C9" s="24" t="str">
        <x:v>100 m³-class modules, airlocks, aggregation nodes</x:v>
      </x:c>
      <x:c r="D9" s="24" t="str">
        <x:v>Operational fission + expanded distribution; advanced charging/connectors</x:v>
      </x:c>
      <x:c r="E9" s="24" t="str">
        <x:v>Routine logistics and pressurized rovers</x:v>
      </x:c>
      <x:c r="F9" s="24" t="str">
        <x:v>Modular greenhouse farm scales in increments; eventually hundreds of m²</x:v>
      </x:c>
      <x:c r="G9" s="24" t="str">
        <x:v>NASA-aligned concept</x:v>
      </x:c>
      <x:c r="H9" s="24" t="str">
        <x:v>NASA SCaN 2026 / Moon Base Phase 3</x:v>
      </x:c>
    </x:row>
    <x:row r="10">
      <x:c r="A10" s="24" t="str">
        <x:v>2033–2036</x:v>
      </x:c>
      <x:c r="B10" s="24" t="str">
        <x:v>Scaled Moon Base</x:v>
      </x:c>
      <x:c r="C10" s="24" t="str">
        <x:v>Larger long-duration base modules</x:v>
      </x:c>
      <x:c r="D10" s="24" t="str">
        <x:v>Multiple generation nodes; grid-like architecture</x:v>
      </x:c>
      <x:c r="E10" s="24" t="str">
        <x:v>Higher annual cargo throughput</x:v>
      </x:c>
      <x:c r="F10" s="24" t="str">
        <x:v>Add parallel plant modules rather than one oversized unit</x:v>
      </x:c>
      <x:c r="G10" s="24" t="str">
        <x:v>Engineering recommendation</x:v>
      </x:c>
      <x:c r="H10" s="24" t="str">
        <x:v>NASA Moon Base plan</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6" hidden="0" customWidth="1"/>
    <x:col min="5" max="5" width="12" hidden="0" customWidth="1"/>
    <x:col min="6" max="6" width="14" hidden="0" customWidth="1"/>
    <x:col min="7" max="7" width="16" hidden="0" customWidth="1"/>
    <x:col min="8" max="8" width="14" hidden="0" customWidth="1"/>
    <x:col min="9" max="9" width="16" hidden="0" customWidth="1"/>
    <x:col min="10" max="10" width="20" hidden="0" customWidth="1"/>
    <x:col min="11" max="11" width="12" hidden="0" customWidth="1"/>
    <x:col min="12" max="12" width="24" hidden="0" customWidth="1"/>
    <x:col min="13" max="13" width="38" hidden="0" customWidth="1"/>
  </x:cols>
  <x:sheetData>
    <x:row r="1" ht="28" customHeight="1">
      <x:c r="A1" s="5" t="str">
        <x:v>Facility-Level Electrical Load Model</x:v>
      </x:c>
    </x:row>
    <x:row r="3">
      <x:c r="A3" s="14" t="str">
        <x:v>Facility / Load Center</x:v>
      </x:c>
      <x:c r="B3" s="14" t="str">
        <x:v>Priority</x:v>
      </x:c>
      <x:c r="C3" s="14" t="str">
        <x:v>Nom Avg kW (6)</x:v>
      </x:c>
      <x:c r="D3" s="14" t="str">
        <x:v>Handover Avg kW (12)</x:v>
      </x:c>
      <x:c r="E3" s="14" t="str">
        <x:v>Peak Factor</x:v>
      </x:c>
      <x:c r="F3" s="14" t="str">
        <x:v>Nom Peak kW</x:v>
      </x:c>
      <x:c r="G3" s="14" t="str">
        <x:v>Handover Peak kW</x:v>
      </x:c>
      <x:c r="H3" s="14" t="str">
        <x:v>Daily kWh (6)</x:v>
      </x:c>
      <x:c r="I3" s="14" t="str">
        <x:v>Daily kWh (12)</x:v>
      </x:c>
      <x:c r="J3" s="14" t="str">
        <x:v>Bus</x:v>
      </x:c>
      <x:c r="K3" s="14" t="str">
        <x:v>Expandable?</x:v>
      </x:c>
      <x:c r="L3" s="14" t="str">
        <x:v>Basis</x:v>
      </x:c>
      <x:c r="M3" s="14" t="str">
        <x:v>Notes</x:v>
      </x:c>
    </x:row>
    <x:row r="4">
      <x:c r="A4" s="24" t="str">
        <x:v>Habitation + ECLSS</x:v>
      </x:c>
      <x:c r="B4" s="24" t="str">
        <x:v>Critical</x:v>
      </x:c>
      <x:c r="C4" s="26" t="n">
        <x:v>4.6</x:v>
      </x:c>
      <x:c r="D4" s="26" t="n">
        <x:v>6.4</x:v>
      </x:c>
      <x:c r="E4" s="26" t="n">
        <x:v>1.35</x:v>
      </x:c>
      <x:c r="F4" s="26" t="n">
        <x:f>C4*E4</x:f>
        <x:v>6.21</x:v>
      </x:c>
      <x:c r="G4" s="26" t="n">
        <x:f>D4*E4</x:f>
        <x:v>8.64</x:v>
      </x:c>
      <x:c r="H4" s="26" t="n">
        <x:f>C4*24</x:f>
        <x:v>110.39999999999999</x:v>
      </x:c>
      <x:c r="I4" s="26" t="n">
        <x:f>D4*24</x:f>
        <x:v>153.60000000000002</x:v>
      </x:c>
      <x:c r="J4" s="24" t="str">
        <x:v>120 VDC local</x:v>
      </x:c>
      <x:c r="K4" s="24" t="str">
        <x:v>Yes</x:v>
      </x:c>
      <x:c r="L4" s="24" t="str">
        <x:v>Engineering allocation</x:v>
      </x:c>
      <x:c r="M4" s="24" t="str">
        <x:v>Air circulation, CO₂ removal, water loops, hygiene, controls</x:v>
      </x:c>
    </x:row>
    <x:row r="5">
      <x:c r="A5" s="24" t="str">
        <x:v>Thermal Control</x:v>
      </x:c>
      <x:c r="B5" s="24" t="str">
        <x:v>Critical</x:v>
      </x:c>
      <x:c r="C5" s="26" t="n">
        <x:v>1.8</x:v>
      </x:c>
      <x:c r="D5" s="26" t="n">
        <x:v>2.4</x:v>
      </x:c>
      <x:c r="E5" s="26" t="n">
        <x:v>1.45</x:v>
      </x:c>
      <x:c r="F5" s="26" t="n">
        <x:f>C5*E5</x:f>
        <x:v>2.61</x:v>
      </x:c>
      <x:c r="G5" s="26" t="n">
        <x:f>D5*E5</x:f>
        <x:v>3.48</x:v>
      </x:c>
      <x:c r="H5" s="26" t="n">
        <x:f>C5*24</x:f>
        <x:v>43.2</x:v>
      </x:c>
      <x:c r="I5" s="26" t="n">
        <x:f>D5*24</x:f>
        <x:v>57.599999999999994</x:v>
      </x:c>
      <x:c r="J5" s="24" t="str">
        <x:v>120 VDC local</x:v>
      </x:c>
      <x:c r="K5" s="24" t="str">
        <x:v>Yes</x:v>
      </x:c>
      <x:c r="L5" s="24" t="str">
        <x:v>Engineering allocation</x:v>
      </x:c>
      <x:c r="M5" s="24" t="str">
        <x:v>Pumps, heat rejection controls; site/season dependent</x:v>
      </x:c>
    </x:row>
    <x:row r="6">
      <x:c r="A6" s="93" t="str">
        <x:v>Command / Avionics / LTC / PNT Core</x:v>
      </x:c>
      <x:c r="B6" s="24" t="str">
        <x:v>Critical</x:v>
      </x:c>
      <x:c r="C6" s="26" t="n">
        <x:v>0.45</x:v>
      </x:c>
      <x:c r="D6" s="26" t="n">
        <x:v>0.5</x:v>
      </x:c>
      <x:c r="E6" s="26" t="n">
        <x:v>1.2</x:v>
      </x:c>
      <x:c r="F6" s="26" t="n">
        <x:f>C6*E6</x:f>
        <x:v>0.54</x:v>
      </x:c>
      <x:c r="G6" s="26" t="n">
        <x:f>D6*E6</x:f>
        <x:v>0.6</x:v>
      </x:c>
      <x:c r="H6" s="26" t="n">
        <x:f>C6*24</x:f>
        <x:v>10.8</x:v>
      </x:c>
      <x:c r="I6" s="26" t="n">
        <x:f>D6*24</x:f>
        <x:v>12</x:v>
      </x:c>
      <x:c r="J6" s="24" t="str">
        <x:v>120/28 VDC</x:v>
      </x:c>
      <x:c r="K6" s="24" t="str">
        <x:v>Yes</x:v>
      </x:c>
      <x:c r="L6" s="24" t="str">
        <x:v>Engineering allocation</x:v>
      </x:c>
      <x:c r="M6" s="24" t="str">
        <x:v>Tier 0 command, LTC timing, core navigation and state awareness; NASA publishes service requirements, not terminal power</x:v>
      </x:c>
    </x:row>
    <x:row r="7">
      <x:c r="A7" s="93" t="str">
        <x:v>Surface C&amp;PNT Node - Safety</x:v>
      </x:c>
      <x:c r="B7" s="24" t="str">
        <x:v>Critical</x:v>
      </x:c>
      <x:c r="C7" s="26" t="n">
        <x:v>0.55</x:v>
      </x:c>
      <x:c r="D7" s="26" t="n">
        <x:v>0.65</x:v>
      </x:c>
      <x:c r="E7" s="26" t="n">
        <x:v>1.3</x:v>
      </x:c>
      <x:c r="F7" s="26" t="n">
        <x:f>C7*E7</x:f>
        <x:v>0.7150000000000001</x:v>
      </x:c>
      <x:c r="G7" s="26" t="n">
        <x:f>D7*E7</x:f>
        <x:v>0.8450000000000001</x:v>
      </x:c>
      <x:c r="H7" s="26" t="n">
        <x:f>C7*24</x:f>
        <x:v>13.200000000000001</x:v>
      </x:c>
      <x:c r="I7" s="26" t="n">
        <x:f>D7*24</x:f>
        <x:v>15.600000000000001</x:v>
      </x:c>
      <x:c r="J7" s="24" t="str">
        <x:v>120/28 VDC</x:v>
      </x:c>
      <x:c r="K7" s="24" t="str">
        <x:v>Yes</x:v>
      </x:c>
      <x:c r="L7" s="24" t="str">
        <x:v>Engineering allocation</x:v>
      </x:c>
      <x:c r="M7" s="24" t="str">
        <x:v>Tier 0/1 emergency low-rate link, crew/vehicle tracking, relay/DWE path and local aggregation</x:v>
      </x:c>
    </x:row>
    <x:row r="8">
      <x:c r="A8" s="24" t="str">
        <x:v>Lighting / Internal Utility</x:v>
      </x:c>
      <x:c r="B8" s="24" t="str">
        <x:v>Essential</x:v>
      </x:c>
      <x:c r="C8" s="26" t="n">
        <x:v>0.7</x:v>
      </x:c>
      <x:c r="D8" s="26" t="n">
        <x:v>1</x:v>
      </x:c>
      <x:c r="E8" s="26" t="n">
        <x:v>1.5</x:v>
      </x:c>
      <x:c r="F8" s="26" t="n">
        <x:f>C8*E8</x:f>
        <x:v>1.0499999999999998</x:v>
      </x:c>
      <x:c r="G8" s="26" t="n">
        <x:f>D8*E8</x:f>
        <x:v>1.5</x:v>
      </x:c>
      <x:c r="H8" s="26" t="n">
        <x:f>C8*24</x:f>
        <x:v>16.799999999999997</x:v>
      </x:c>
      <x:c r="I8" s="26" t="n">
        <x:f>D8*24</x:f>
        <x:v>24</x:v>
      </x:c>
      <x:c r="J8" s="24" t="str">
        <x:v>120 VDC</x:v>
      </x:c>
      <x:c r="K8" s="24" t="str">
        <x:v>Yes</x:v>
      </x:c>
      <x:c r="L8" s="24" t="str">
        <x:v>Engineering allocation</x:v>
      </x:c>
      <x:c r="M8" s="24" t="str">
        <x:v>Habitable volume lighting and utility</x:v>
      </x:c>
    </x:row>
    <x:row r="9">
      <x:c r="A9" s="24" t="str">
        <x:v>Galley / Food / Hygiene</x:v>
      </x:c>
      <x:c r="B9" s="24" t="str">
        <x:v>Essential</x:v>
      </x:c>
      <x:c r="C9" s="26" t="n">
        <x:v>0.65</x:v>
      </x:c>
      <x:c r="D9" s="26" t="n">
        <x:v>1.4</x:v>
      </x:c>
      <x:c r="E9" s="26" t="n">
        <x:v>2.5</x:v>
      </x:c>
      <x:c r="F9" s="26" t="n">
        <x:f>C9*E9</x:f>
        <x:v>1.625</x:v>
      </x:c>
      <x:c r="G9" s="26" t="n">
        <x:f>D9*E9</x:f>
        <x:v>3.5</x:v>
      </x:c>
      <x:c r="H9" s="26" t="n">
        <x:f>C9*24</x:f>
        <x:v>15.600000000000001</x:v>
      </x:c>
      <x:c r="I9" s="26" t="n">
        <x:f>D9*24</x:f>
        <x:v>33.599999999999994</x:v>
      </x:c>
      <x:c r="J9" s="24" t="str">
        <x:v>120 VDC</x:v>
      </x:c>
      <x:c r="K9" s="24" t="str">
        <x:v>Yes</x:v>
      </x:c>
      <x:c r="L9" s="24" t="str">
        <x:v>Engineering allocation</x:v>
      </x:c>
      <x:c r="M9" s="24" t="str">
        <x:v>High peak, low duty-cycle loads</x:v>
      </x:c>
    </x:row>
    <x:row r="10">
      <x:c r="A10" s="24" t="str">
        <x:v>Science / Laboratory</x:v>
      </x:c>
      <x:c r="B10" s="24" t="str">
        <x:v>Discretionary</x:v>
      </x:c>
      <x:c r="C10" s="26" t="n">
        <x:v>0.8</x:v>
      </x:c>
      <x:c r="D10" s="26" t="n">
        <x:v>1</x:v>
      </x:c>
      <x:c r="E10" s="26" t="n">
        <x:v>1.75</x:v>
      </x:c>
      <x:c r="F10" s="26" t="n">
        <x:f>C10*E10</x:f>
        <x:v>1.4000000000000001</x:v>
      </x:c>
      <x:c r="G10" s="26" t="n">
        <x:f>D10*E10</x:f>
        <x:v>1.75</x:v>
      </x:c>
      <x:c r="H10" s="26" t="n">
        <x:f>C10*24</x:f>
        <x:v>19.200000000000003</x:v>
      </x:c>
      <x:c r="I10" s="26" t="n">
        <x:f>D10*24</x:f>
        <x:v>24</x:v>
      </x:c>
      <x:c r="J10" s="24" t="str">
        <x:v>120 VDC</x:v>
      </x:c>
      <x:c r="K10" s="24" t="str">
        <x:v>Yes</x:v>
      </x:c>
      <x:c r="L10" s="24" t="str">
        <x:v>Engineering allocation</x:v>
      </x:c>
      <x:c r="M10" s="24" t="str">
        <x:v>Mission-variable</x:v>
      </x:c>
    </x:row>
    <x:row r="11">
      <x:c r="A11" s="24" t="str">
        <x:v>Rover / EVA Charging</x:v>
      </x:c>
      <x:c r="B11" s="24" t="str">
        <x:v>Essential</x:v>
      </x:c>
      <x:c r="C11" s="26" t="n">
        <x:v>1</x:v>
      </x:c>
      <x:c r="D11" s="26" t="n">
        <x:v>1.5</x:v>
      </x:c>
      <x:c r="E11" s="26" t="n">
        <x:v>2</x:v>
      </x:c>
      <x:c r="F11" s="26" t="n">
        <x:f>C11*E11</x:f>
        <x:v>2</x:v>
      </x:c>
      <x:c r="G11" s="26" t="n">
        <x:f>D11*E11</x:f>
        <x:v>3</x:v>
      </x:c>
      <x:c r="H11" s="26" t="n">
        <x:f>C11*24</x:f>
        <x:v>24</x:v>
      </x:c>
      <x:c r="I11" s="26" t="n">
        <x:f>D11*24</x:f>
        <x:v>36</x:v>
      </x:c>
      <x:c r="J11" s="24" t="str">
        <x:v>120 VDC / HV trunk</x:v>
      </x:c>
      <x:c r="K11" s="24" t="str">
        <x:v>Yes</x:v>
      </x:c>
      <x:c r="L11" s="24" t="str">
        <x:v>Engineering allocation</x:v>
      </x:c>
      <x:c r="M11" s="24" t="str">
        <x:v>Scheduleable load</x:v>
      </x:c>
    </x:row>
    <x:row r="12">
      <x:c r="A12" s="24" t="str">
        <x:v>Logistics / Maintenance</x:v>
      </x:c>
      <x:c r="B12" s="24" t="str">
        <x:v>Discretionary</x:v>
      </x:c>
      <x:c r="C12" s="26" t="n">
        <x:v>0.4</x:v>
      </x:c>
      <x:c r="D12" s="26" t="n">
        <x:v>0.6</x:v>
      </x:c>
      <x:c r="E12" s="26" t="n">
        <x:v>1.75</x:v>
      </x:c>
      <x:c r="F12" s="26" t="n">
        <x:f>C12*E12</x:f>
        <x:v>0.7000000000000001</x:v>
      </x:c>
      <x:c r="G12" s="26" t="n">
        <x:f>D12*E12</x:f>
        <x:v>1.05</x:v>
      </x:c>
      <x:c r="H12" s="26" t="n">
        <x:f>C12*24</x:f>
        <x:v>9.600000000000001</x:v>
      </x:c>
      <x:c r="I12" s="26" t="n">
        <x:f>D12*24</x:f>
        <x:v>14.399999999999999</x:v>
      </x:c>
      <x:c r="J12" s="24" t="str">
        <x:v>120 VDC</x:v>
      </x:c>
      <x:c r="K12" s="24" t="str">
        <x:v>Yes</x:v>
      </x:c>
      <x:c r="L12" s="24" t="str">
        <x:v>Engineering allocation</x:v>
      </x:c>
      <x:c r="M12" s="24" t="str">
        <x:v>Tools, spares handling</x:v>
      </x:c>
    </x:row>
    <x:row r="13">
      <x:c r="A13" s="24" t="str">
        <x:v>Plant Module - initial</x:v>
      </x:c>
      <x:c r="B13" s="24" t="str">
        <x:v>Essential</x:v>
      </x:c>
      <x:c r="C13" s="26" t="n">
        <x:v>0.75</x:v>
      </x:c>
      <x:c r="D13" s="26" t="n">
        <x:v>0.75</x:v>
      </x:c>
      <x:c r="E13" s="26" t="n">
        <x:v>1.3</x:v>
      </x:c>
      <x:c r="F13" s="26" t="n">
        <x:f>C13*E13</x:f>
        <x:v>0.9750000000000001</x:v>
      </x:c>
      <x:c r="G13" s="26" t="n">
        <x:f>D13*E13</x:f>
        <x:v>0.9750000000000001</x:v>
      </x:c>
      <x:c r="H13" s="26" t="n">
        <x:f>C13*24</x:f>
        <x:v>18</x:v>
      </x:c>
      <x:c r="I13" s="26" t="n">
        <x:f>D13*24</x:f>
        <x:v>18</x:v>
      </x:c>
      <x:c r="J13" s="24" t="str">
        <x:v>120 VDC local</x:v>
      </x:c>
      <x:c r="K13" s="24" t="str">
        <x:v>Yes</x:v>
      </x:c>
      <x:c r="L13" s="24" t="str">
        <x:v>Derived separately</x:v>
      </x:c>
      <x:c r="M13" s="24" t="str">
        <x:v>Non-lighting base load; lighting netted in plant sheet</x:v>
      </x:c>
    </x:row>
    <x:row r="14">
      <x:c r="A14" s="24" t="str">
        <x:v>Plant Lighting - net electric</x:v>
      </x:c>
      <x:c r="B14" s="24" t="str">
        <x:v>Discretionary</x:v>
      </x:c>
      <x:c r="C14" s="26" t="n">
        <x:v>0.3</x:v>
      </x:c>
      <x:c r="D14" s="26" t="n">
        <x:v>0.3</x:v>
      </x:c>
      <x:c r="E14" s="26" t="n">
        <x:v>1.1</x:v>
      </x:c>
      <x:c r="F14" s="26" t="n">
        <x:f>C14*E14</x:f>
        <x:v>0.33</x:v>
      </x:c>
      <x:c r="G14" s="26" t="n">
        <x:f>D14*E14</x:f>
        <x:v>0.33</x:v>
      </x:c>
      <x:c r="H14" s="26" t="n">
        <x:f>C14*24</x:f>
        <x:v>7.199999999999999</x:v>
      </x:c>
      <x:c r="I14" s="26" t="n">
        <x:f>D14*24</x:f>
        <x:v>7.199999999999999</x:v>
      </x:c>
      <x:c r="J14" s="24" t="str">
        <x:v>120 VDC local</x:v>
      </x:c>
      <x:c r="K14" s="24" t="str">
        <x:v>Yes</x:v>
      </x:c>
      <x:c r="L14" s="24" t="str">
        <x:v>Placeholder linked concept</x:v>
      </x:c>
      <x:c r="M14" s="24" t="str">
        <x:v>Daylight-concentrator target reduces LED demand</x:v>
      </x:c>
    </x:row>
    <x:row r="15">
      <x:c r="A15" s="24" t="str">
        <x:v>ISRU / Construction Pilot</x:v>
      </x:c>
      <x:c r="B15" s="24" t="str">
        <x:v>Discretionary</x:v>
      </x:c>
      <x:c r="C15" s="26" t="n">
        <x:v>0</x:v>
      </x:c>
      <x:c r="D15" s="26" t="n">
        <x:v>0</x:v>
      </x:c>
      <x:c r="E15" s="26" t="n">
        <x:v>3</x:v>
      </x:c>
      <x:c r="F15" s="26" t="n">
        <x:f>C15*E15</x:f>
        <x:v>0</x:v>
      </x:c>
      <x:c r="G15" s="26" t="n">
        <x:f>D15*E15</x:f>
        <x:v>0</x:v>
      </x:c>
      <x:c r="H15" s="26" t="n">
        <x:f>C15*24</x:f>
        <x:v>0</x:v>
      </x:c>
      <x:c r="I15" s="26" t="n">
        <x:f>D15*24</x:f>
        <x:v>0</x:v>
      </x:c>
      <x:c r="J15" s="24" t="str">
        <x:v>HV trunk/local converter</x:v>
      </x:c>
      <x:c r="K15" s="24" t="str">
        <x:v>Yes</x:v>
      </x:c>
      <x:c r="L15" s="24" t="str">
        <x:v>Engineering allocation</x:v>
      </x:c>
      <x:c r="M15" s="24" t="str">
        <x:v>Scheduleable process load; excluded from steady occupied average and run when generation margin permits</x:v>
      </x:c>
    </x:row>
    <x:row r="16">
      <x:c r="A16" s="24" t="str">
        <x:v>Reserve / Growth Allowance</x:v>
      </x:c>
      <x:c r="B16" s="24" t="str">
        <x:v>Essential</x:v>
      </x:c>
      <x:c r="C16" s="26" t="n">
        <x:v>0</x:v>
      </x:c>
      <x:c r="D16" s="26" t="n">
        <x:v>0.35</x:v>
      </x:c>
      <x:c r="E16" s="26" t="n">
        <x:v>1</x:v>
      </x:c>
      <x:c r="F16" s="26" t="n">
        <x:f>C16*E16</x:f>
        <x:v>0</x:v>
      </x:c>
      <x:c r="G16" s="26" t="n">
        <x:f>D16*E16</x:f>
        <x:v>0.35</x:v>
      </x:c>
      <x:c r="H16" s="26" t="n">
        <x:f>C16*24</x:f>
        <x:v>0</x:v>
      </x:c>
      <x:c r="I16" s="26" t="n">
        <x:f>D16*24</x:f>
        <x:v>8.399999999999999</x:v>
      </x:c>
      <x:c r="J16" s="24" t="str">
        <x:v>Any</x:v>
      </x:c>
      <x:c r="K16" s="24" t="str">
        <x:v>Yes</x:v>
      </x:c>
      <x:c r="L16" s="24" t="str">
        <x:v>Balancing allowance</x:v>
      </x:c>
      <x:c r="M16" s="24" t="str">
        <x:v>Handover-only reserve / concurrent utility allowance</x:v>
      </x:c>
    </x:row>
    <x:row r="17">
      <x:c r="A17" s="94" t="str">
        <x:v>High-Rate Communications / Observability</x:v>
      </x:c>
      <x:c r="B17" s="24" t="str">
        <x:v>Discretionary</x:v>
      </x:c>
      <x:c r="C17" s="26" t="n">
        <x:v>0.5</x:v>
      </x:c>
      <x:c r="D17" s="26" t="n">
        <x:v>0.65</x:v>
      </x:c>
      <x:c r="E17" s="26" t="n">
        <x:v>1.8</x:v>
      </x:c>
      <x:c r="F17" s="26" t="n">
        <x:f>C17*E17</x:f>
        <x:v>0.9</x:v>
      </x:c>
      <x:c r="G17" s="26" t="n">
        <x:f>D17*E17</x:f>
        <x:v>1.1700000000000002</x:v>
      </x:c>
      <x:c r="H17" s="26" t="n">
        <x:f>C17*24</x:f>
        <x:v>12</x:v>
      </x:c>
      <x:c r="I17" s="26" t="n">
        <x:f>D17*24</x:f>
        <x:v>15.600000000000001</x:v>
      </x:c>
      <x:c r="J17" s="24" t="str">
        <x:v>120/28 VDC</x:v>
      </x:c>
      <x:c r="K17" s="24" t="str">
        <x:v>Yes</x:v>
      </x:c>
      <x:c r="L17" s="24" t="str">
        <x:v>Engineering allocation</x:v>
      </x:c>
      <x:c r="M17" s="24" t="str">
        <x:v>Tier 2/3 HD/UHD video, bulk data, high-resolution imaging and noncritical observation processing; scale or shed first</x:v>
      </x:c>
    </x:row>
    <x:row r="18">
      <x:c r="A18" s="41" t="str">
        <x:v>TOTAL AVERAGE</x:v>
      </x:c>
      <x:c r="B18" s="41" t="str"/>
      <x:c r="C18" s="42" t="n">
        <x:f>SUM(C4:C17)</x:f>
        <x:v>12.500000000000002</x:v>
      </x:c>
      <x:c r="D18" s="42" t="n">
        <x:f>SUM(D4:D17)</x:f>
        <x:v>17.500000000000004</x:v>
      </x:c>
      <x:c r="E18" s="42"/>
      <x:c r="F18" s="42"/>
      <x:c r="G18" s="42"/>
      <x:c r="H18" s="42"/>
      <x:c r="I18" s="42"/>
      <x:c r="J18" s="24"/>
      <x:c r="K18" s="24"/>
      <x:c r="L18" s="24"/>
      <x:c r="M18" s="24"/>
    </x:row>
    <x:row r="19">
      <x:c r="A19" s="41" t="str">
        <x:v>TOTAL DAILY ENERGY</x:v>
      </x:c>
      <x:c r="B19" s="41" t="str"/>
      <x:c r="C19" s="42"/>
      <x:c r="D19" s="42"/>
      <x:c r="E19" s="42"/>
      <x:c r="F19" s="42"/>
      <x:c r="G19" s="42"/>
      <x:c r="H19" s="42" t="n">
        <x:f>SUM(H4:H17)</x:f>
        <x:v>300</x:v>
      </x:c>
      <x:c r="I19" s="42" t="n">
        <x:f>SUM(I4:I17)</x:f>
        <x:v>419.99999999999994</x:v>
      </x:c>
      <x:c r="J19" s="24"/>
      <x:c r="K19" s="24"/>
      <x:c r="L19" s="24"/>
      <x:c r="M19" s="24"/>
    </x:row>
    <x:row r="20">
      <x:c r="A20" s="41" t="str">
        <x:v>MODEL TARGET</x:v>
      </x:c>
      <x:c r="B20" s="41" t="str"/>
      <x:c r="C20" s="42" t="n">
        <x:f>Assumptions!B6</x:f>
        <x:v>12.5</x:v>
      </x:c>
      <x:c r="D20" s="42" t="n">
        <x:f>Assumptions!B7</x:f>
        <x:v>17.5</x:v>
      </x:c>
      <x:c r="E20" s="42"/>
      <x:c r="F20" s="42"/>
      <x:c r="G20" s="42"/>
      <x:c r="H20" s="42"/>
      <x:c r="I20" s="42"/>
      <x:c r="J20" s="24"/>
      <x:c r="K20" s="24"/>
      <x:c r="L20" s="24"/>
      <x:c r="M20" s="24"/>
    </x:row>
    <x:row r="21">
      <x:c r="A21" s="41" t="str">
        <x:v>DELTA TO TARGET</x:v>
      </x:c>
      <x:c r="B21" s="41" t="str"/>
      <x:c r="C21" s="42" t="n">
        <x:f>C18-C20</x:f>
        <x:v>1.7763568394002505e-15</x:v>
      </x:c>
      <x:c r="D21" s="42" t="n">
        <x:f>D18-D20</x:f>
        <x:v>3.552713678800501e-15</x:v>
      </x:c>
      <x:c r="E21" s="42"/>
      <x:c r="F21" s="42"/>
      <x:c r="G21" s="42"/>
      <x:c r="H21" s="42"/>
      <x:c r="I21" s="42"/>
      <x:c r="J21" s="24"/>
      <x:c r="K21" s="24"/>
      <x:c r="L21" s="24"/>
      <x:c r="M21" s="24"/>
    </x:row>
  </x:sheetData>
  <x:mergeCells>
    <x:mergeCell ref="A1:M1"/>
  </x:mergeCells>
  <x:conditionalFormatting sqref="A4:A16">
    <x:cfRule type="expression" dxfId="0" priority="1">
      <x:formula>$B4="Critical"</x:formula>
    </x:cfRule>
    <x:cfRule type="expression" dxfId="1" priority="2">
      <x:formula>$B4="Essential"</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5" hidden="0" customWidth="1"/>
    <x:col min="5" max="5" width="18" hidden="0" customWidth="1"/>
    <x:col min="6" max="6" width="16" hidden="0" customWidth="1"/>
    <x:col min="7" max="7" width="18" hidden="0" customWidth="1"/>
    <x:col min="8" max="8" width="20" hidden="0" customWidth="1"/>
    <x:col min="9" max="9" width="18" hidden="0" customWidth="1"/>
    <x:col min="10" max="10" width="14" hidden="0" customWidth="1"/>
  </x:cols>
  <x:sheetData>
    <x:row r="1" ht="28" customHeight="1">
      <x:c r="A1" s="5" t="str">
        <x:v>Expandable Plant Module — Power and Area Sizing</x:v>
      </x:c>
    </x:row>
    <x:row r="3">
      <x:c r="A3" s="14" t="str">
        <x:v>Stage</x:v>
      </x:c>
      <x:c r="B3" s="14" t="str">
        <x:v>Crop Area m²</x:v>
      </x:c>
      <x:c r="C3" s="14" t="str">
        <x:v>LED W/m²</x:v>
      </x:c>
      <x:c r="D3" s="14" t="str">
        <x:v>Photoperiod h</x:v>
      </x:c>
      <x:c r="E3" s="14" t="str">
        <x:v>Raw LED kWh/day</x:v>
      </x:c>
      <x:c r="F3" s="14" t="str">
        <x:v>Sunlight Offset</x:v>
      </x:c>
      <x:c r="G3" s="14" t="str">
        <x:v>Net LED kWh/day</x:v>
      </x:c>
      <x:c r="H3" s="14" t="str">
        <x:v>Non-lighting kWh/day</x:v>
      </x:c>
      <x:c r="I3" s="14" t="str">
        <x:v>Total kWh/day</x:v>
      </x:c>
      <x:c r="J3" s="14" t="str">
        <x:v>Avg kW</x:v>
      </x:c>
    </x:row>
    <x:row r="4">
      <x:c r="A4" s="24" t="str">
        <x:v>Initial</x:v>
      </x:c>
      <x:c r="B4" s="26" t="n">
        <x:v>25</x:v>
      </x:c>
      <x:c r="C4" s="26" t="n">
        <x:v>150</x:v>
      </x:c>
      <x:c r="D4" s="26" t="n">
        <x:v>16</x:v>
      </x:c>
      <x:c r="E4" s="26" t="n">
        <x:f>B4*C4*D4/1000</x:f>
        <x:v>60</x:v>
      </x:c>
      <x:c r="F4" s="26" t="n">
        <x:v>0.7</x:v>
      </x:c>
      <x:c r="G4" s="26" t="n">
        <x:f>E4*(1-F4)</x:f>
        <x:v>18.000000000000004</x:v>
      </x:c>
      <x:c r="H4" s="26" t="n">
        <x:v>18</x:v>
      </x:c>
      <x:c r="I4" s="26" t="n">
        <x:f>G4+H4</x:f>
        <x:v>36</x:v>
      </x:c>
      <x:c r="J4" s="26" t="n">
        <x:f>I4/24</x:f>
        <x:v>1.5</x:v>
      </x:c>
    </x:row>
    <x:row r="5">
      <x:c r="A5" s="24" t="str">
        <x:v>Expansion 1</x:v>
      </x:c>
      <x:c r="B5" s="26" t="n">
        <x:v>50</x:v>
      </x:c>
      <x:c r="C5" s="26" t="n">
        <x:v>150</x:v>
      </x:c>
      <x:c r="D5" s="26" t="n">
        <x:v>16</x:v>
      </x:c>
      <x:c r="E5" s="26" t="n">
        <x:f>B5*C5*D5/1000</x:f>
        <x:v>120</x:v>
      </x:c>
      <x:c r="F5" s="26" t="n">
        <x:v>0.7</x:v>
      </x:c>
      <x:c r="G5" s="26" t="n">
        <x:f>E5*(1-F5)</x:f>
        <x:v>36.00000000000001</x:v>
      </x:c>
      <x:c r="H5" s="26" t="n">
        <x:v>28</x:v>
      </x:c>
      <x:c r="I5" s="26" t="n">
        <x:f>G5+H5</x:f>
        <x:v>64</x:v>
      </x:c>
      <x:c r="J5" s="26" t="n">
        <x:f>I5/24</x:f>
        <x:v>2.6666666666666665</x:v>
      </x:c>
    </x:row>
    <x:row r="6">
      <x:c r="A6" s="24" t="str">
        <x:v>Expansion 2</x:v>
      </x:c>
      <x:c r="B6" s="26" t="n">
        <x:v>100</x:v>
      </x:c>
      <x:c r="C6" s="26" t="n">
        <x:v>150</x:v>
      </x:c>
      <x:c r="D6" s="26" t="n">
        <x:v>16</x:v>
      </x:c>
      <x:c r="E6" s="26" t="n">
        <x:f>B6*C6*D6/1000</x:f>
        <x:v>240</x:v>
      </x:c>
      <x:c r="F6" s="26" t="n">
        <x:v>0.7</x:v>
      </x:c>
      <x:c r="G6" s="26" t="n">
        <x:f>E6*(1-F6)</x:f>
        <x:v>72.00000000000001</x:v>
      </x:c>
      <x:c r="H6" s="26" t="n">
        <x:v>42</x:v>
      </x:c>
      <x:c r="I6" s="26" t="n">
        <x:f>G6+H6</x:f>
        <x:v>114.00000000000001</x:v>
      </x:c>
      <x:c r="J6" s="26" t="n">
        <x:f>I6/24</x:f>
        <x:v>4.750000000000001</x:v>
      </x:c>
    </x:row>
    <x:row r="7">
      <x:c r="A7" s="24" t="str">
        <x:v>Full-food reference (6 crew)</x:v>
      </x:c>
      <x:c r="B7" s="26" t="n">
        <x:v>650</x:v>
      </x:c>
      <x:c r="C7" s="26" t="n">
        <x:v>150</x:v>
      </x:c>
      <x:c r="D7" s="26" t="n">
        <x:v>16</x:v>
      </x:c>
      <x:c r="E7" s="26" t="n">
        <x:f>B7*C7*D7/1000</x:f>
        <x:v>1560</x:v>
      </x:c>
      <x:c r="F7" s="26" t="n">
        <x:v>0.7</x:v>
      </x:c>
      <x:c r="G7" s="26" t="n">
        <x:f>E7*(1-F7)</x:f>
        <x:v>468.00000000000006</x:v>
      </x:c>
      <x:c r="H7" s="26" t="n">
        <x:v>120</x:v>
      </x:c>
      <x:c r="I7" s="26" t="n">
        <x:f>G7+H7</x:f>
        <x:v>588</x:v>
      </x:c>
      <x:c r="J7" s="26" t="n">
        <x:f>I7/24</x:f>
        <x:v>24.5</x:v>
      </x:c>
    </x:row>
    <x:row r="8">
      <x:c r="A8" s="24"/>
      <x:c r="B8" s="24"/>
      <x:c r="C8" s="24"/>
      <x:c r="D8" s="24"/>
      <x:c r="E8" s="24"/>
      <x:c r="F8" s="24"/>
      <x:c r="G8" s="24"/>
      <x:c r="H8" s="24"/>
      <x:c r="I8" s="24"/>
      <x:c r="J8" s="24"/>
    </x:row>
    <x:row r="9">
      <x:c r="A9" s="24"/>
      <x:c r="B9" s="24"/>
      <x:c r="C9" s="24"/>
      <x:c r="D9" s="24"/>
      <x:c r="E9" s="24"/>
      <x:c r="F9" s="24"/>
      <x:c r="G9" s="24"/>
      <x:c r="H9" s="24"/>
      <x:c r="I9" s="24"/>
      <x:c r="J9" s="24"/>
    </x:row>
    <x:row r="10">
      <x:c r="A10" s="46" t="str">
        <x:v>Design principle</x:v>
      </x:c>
      <x:c r="B10" s="46" t="str"/>
      <x:c r="C10" s="46" t="str"/>
      <x:c r="D10" s="46" t="str"/>
      <x:c r="E10" s="46" t="str"/>
      <x:c r="F10" s="46" t="str"/>
      <x:c r="G10" s="46" t="str"/>
      <x:c r="H10" s="46" t="str"/>
      <x:c r="I10" s="46" t="str"/>
      <x:c r="J10" s="46" t="str"/>
    </x:row>
    <x:row r="11">
      <x:c r="A11" s="24" t="str">
        <x:v>Use modular racks and repeatable 25–50 m² crop-area increments rather than one monolithic greenhouse.</x:v>
      </x:c>
      <x:c r="B11" s="24"/>
      <x:c r="C11" s="24"/>
      <x:c r="D11" s="24"/>
      <x:c r="E11" s="24"/>
      <x:c r="F11" s="24"/>
      <x:c r="G11" s="24"/>
      <x:c r="H11" s="24"/>
      <x:c r="I11" s="24"/>
      <x:c r="J11" s="24"/>
    </x:row>
    <x:row r="12">
      <x:c r="A12" s="24" t="str">
        <x:v>Treat natural/optically concentrated sunlight as a power source to the plant system, not merely an architectural amenity.</x:v>
      </x:c>
      <x:c r="B12" s="24"/>
      <x:c r="C12" s="24"/>
      <x:c r="D12" s="24"/>
      <x:c r="E12" s="24"/>
      <x:c r="F12" s="24"/>
      <x:c r="G12" s="24"/>
      <x:c r="H12" s="24"/>
      <x:c r="I12" s="24"/>
      <x:c r="J12" s="24"/>
    </x:row>
    <x:row r="13">
      <x:c r="A13" s="24" t="str">
        <x:v>Provide separate life-critical and crop-optimization buses so crop lighting can shed before habitat/ECLSS loads.</x:v>
      </x:c>
      <x:c r="B13" s="24"/>
      <x:c r="C13" s="24"/>
      <x:c r="D13" s="24"/>
      <x:c r="E13" s="24"/>
      <x:c r="F13" s="24"/>
      <x:c r="G13" s="24"/>
      <x:c r="H13" s="24"/>
      <x:c r="I13" s="24"/>
      <x:c r="J13" s="24"/>
    </x:row>
  </x:sheetData>
  <x:mergeCells>
    <x:mergeCell ref="A1:J1"/>
    <x:mergeCell ref="A11:J11"/>
    <x:mergeCell ref="A12:J12"/>
    <x:mergeCell ref="A13:J13"/>
  </x:mergeCells>
  <x:pageMargins left="0.7" right="0.7" top="0.75" bottom="0.75" header="0.3" footer="0.3"/>
  <x:drawing xmlns:r="http://schemas.openxmlformats.org/officeDocument/2006/relationships" r:id="R2335a776d1cb42e7"/>
</x:worksheet>
</file>

<file path=xl/worksheets/sheet5.xml><?xml version="1.0" encoding="utf-8"?>
<x:worksheet xmlns:x="http://schemas.openxmlformats.org/spreadsheetml/2006/main">
  <x:sheetFormatPr defaultRowHeight="15"/>
  <x:cols>
    <x:col min="1" max="1" width="34" hidden="0" customWidth="1"/>
    <x:col min="2" max="2" width="16" hidden="0" customWidth="1"/>
    <x:col min="3" max="3" width="12" hidden="0" customWidth="1"/>
    <x:col min="4" max="4" width="14" hidden="0" customWidth="1"/>
    <x:col min="5" max="5" width="10" hidden="0" customWidth="1"/>
    <x:col min="6" max="6" width="14" hidden="0" customWidth="1"/>
    <x:col min="7" max="7" width="20" hidden="0" customWidth="1"/>
    <x:col min="8" max="8" width="16" hidden="0" customWidth="1"/>
    <x:col min="9" max="9" width="34" hidden="0" customWidth="1"/>
    <x:col min="10" max="10" width="18" hidden="0" customWidth="1"/>
    <x:col min="11" max="11" width="34" hidden="0" customWidth="1"/>
  </x:cols>
  <x:sheetData>
    <x:row r="1" ht="28" customHeight="1">
      <x:c r="A1" s="5" t="str">
        <x:v>Power Inputs by Architecture Phase</x:v>
      </x:c>
    </x:row>
    <x:row r="3">
      <x:c r="A3" s="14" t="str">
        <x:v>Source</x:v>
      </x:c>
      <x:c r="B3" s="14" t="str">
        <x:v>Earliest Model Year</x:v>
      </x:c>
      <x:c r="C3" s="14" t="str">
        <x:v>Rated kW</x:v>
      </x:c>
      <x:c r="D3" s="14" t="str">
        <x:v>Firm / Variable</x:v>
      </x:c>
      <x:c r="E3" s="14" t="str">
        <x:v>Count</x:v>
      </x:c>
      <x:c r="F3" s="14" t="str">
        <x:v>Installed kW</x:v>
      </x:c>
      <x:c r="G3" s="14" t="str">
        <x:v>Capacity Factor / Availability</x:v>
      </x:c>
      <x:c r="H3" s="14" t="str">
        <x:v>Expected Avg kW</x:v>
      </x:c>
      <x:c r="I3" s="14" t="str">
        <x:v>Role</x:v>
      </x:c>
      <x:c r="J3" s="14" t="str">
        <x:v>Included in Base Case?</x:v>
      </x:c>
      <x:c r="K3" s="14" t="str">
        <x:v>Basis</x:v>
      </x:c>
    </x:row>
    <x:row r="4">
      <x:c r="A4" s="24" t="str">
        <x:v>10 kW VSAT-class vertical solar array</x:v>
      </x:c>
      <x:c r="B4" s="24" t="n">
        <x:v>2028</x:v>
      </x:c>
      <x:c r="C4" s="26" t="n">
        <x:v>10</x:v>
      </x:c>
      <x:c r="D4" s="26" t="str">
        <x:v>Variable</x:v>
      </x:c>
      <x:c r="E4" s="26" t="n">
        <x:v>2</x:v>
      </x:c>
      <x:c r="F4" s="26" t="n">
        <x:f>C4*E4</x:f>
        <x:v>20</x:v>
      </x:c>
      <x:c r="G4" s="26" t="n">
        <x:v>0.7</x:v>
      </x:c>
      <x:c r="H4" s="26" t="n">
        <x:f>F4*G4</x:f>
        <x:v>14</x:v>
      </x:c>
      <x:c r="I4" s="24" t="str">
        <x:v>Early solar / local generation</x:v>
      </x:c>
      <x:c r="J4" s="24" t="str">
        <x:v>Yes</x:v>
      </x:c>
      <x:c r="K4" s="24" t="str">
        <x:v>NASA TechPort 10 kW VSAT study</x:v>
      </x:c>
    </x:row>
    <x:row r="5">
      <x:c r="A5" s="24" t="str">
        <x:v>Battery / regenerative storage</x:v>
      </x:c>
      <x:c r="B5" s="24" t="n">
        <x:v>2028</x:v>
      </x:c>
      <x:c r="C5" s="26" t="n">
        <x:v>0</x:v>
      </x:c>
      <x:c r="D5" s="26" t="str">
        <x:v>Storage</x:v>
      </x:c>
      <x:c r="E5" s="26" t="n">
        <x:v>1</x:v>
      </x:c>
      <x:c r="F5" s="26" t="n">
        <x:f>C5*E5</x:f>
        <x:v>0</x:v>
      </x:c>
      <x:c r="G5" s="26" t="n">
        <x:v>0</x:v>
      </x:c>
      <x:c r="H5" s="26" t="n">
        <x:f>F5*G5</x:f>
        <x:v>0</x:v>
      </x:c>
      <x:c r="I5" s="24" t="str">
        <x:v>Ride-through, peak shaving, eclipse/shadow contingency</x:v>
      </x:c>
      <x:c r="J5" s="24" t="str">
        <x:v>Yes</x:v>
      </x:c>
      <x:c r="K5" s="24" t="str">
        <x:v>Architecture element; capacity on Storage sheet</x:v>
      </x:c>
    </x:row>
    <x:row r="6">
      <x:c r="A6" s="24" t="str">
        <x:v>Lunar Reactor-1 / 40 kW-class FSP</x:v>
      </x:c>
      <x:c r="B6" s="24" t="n">
        <x:v>2030</x:v>
      </x:c>
      <x:c r="C6" s="26" t="n">
        <x:v>40</x:v>
      </x:c>
      <x:c r="D6" s="26" t="str">
        <x:v>Firm</x:v>
      </x:c>
      <x:c r="E6" s="26" t="n">
        <x:v>1</x:v>
      </x:c>
      <x:c r="F6" s="26" t="n">
        <x:f>C6*E6</x:f>
        <x:v>40</x:v>
      </x:c>
      <x:c r="G6" s="26" t="n">
        <x:v>0.95</x:v>
      </x:c>
      <x:c r="H6" s="26" t="n">
        <x:f>F6*G6</x:f>
        <x:v>38</x:v>
      </x:c>
      <x:c r="I6" s="24" t="str">
        <x:v>Baseload / night / shadow survival</x:v>
      </x:c>
      <x:c r="J6" s="24" t="str">
        <x:v>Yes</x:v>
      </x:c>
      <x:c r="K6" s="24" t="str">
        <x:v>NASA/DOE target by 2030; ≥40 kW class</x:v>
      </x:c>
    </x:row>
    <x:row r="7">
      <x:c r="A7" s="24" t="str">
        <x:v>50 kW-class vertical solar array</x:v>
      </x:c>
      <x:c r="B7" s="24" t="n">
        <x:v>2032</x:v>
      </x:c>
      <x:c r="C7" s="26" t="n">
        <x:v>50</x:v>
      </x:c>
      <x:c r="D7" s="26" t="str">
        <x:v>Variable</x:v>
      </x:c>
      <x:c r="E7" s="26" t="n">
        <x:v>1</x:v>
      </x:c>
      <x:c r="F7" s="26" t="n">
        <x:f>C7*E7</x:f>
        <x:v>50</x:v>
      </x:c>
      <x:c r="G7" s="26" t="n">
        <x:v>0.7</x:v>
      </x:c>
      <x:c r="H7" s="26" t="n">
        <x:f>F7*G7</x:f>
        <x:v>35</x:v>
      </x:c>
      <x:c r="I7" s="24" t="str">
        <x:v>Expansion solar generation</x:v>
      </x:c>
      <x:c r="J7" s="24" t="str">
        <x:v>Yes</x:v>
      </x:c>
      <x:c r="K7" s="24" t="str">
        <x:v>NASA TechPort R-ROMA development</x:v>
      </x:c>
    </x:row>
    <x:row r="8">
      <x:c r="A8" s="24" t="str">
        <x:v>Partner/commercial microreactor</x:v>
      </x:c>
      <x:c r="B8" s="24" t="n">
        <x:v>2032</x:v>
      </x:c>
      <x:c r="C8" s="26" t="n">
        <x:v>0</x:v>
      </x:c>
      <x:c r="D8" s="26" t="str">
        <x:v>Firm</x:v>
      </x:c>
      <x:c r="E8" s="26" t="n">
        <x:v>0</x:v>
      </x:c>
      <x:c r="F8" s="26" t="n">
        <x:f>C8*E8</x:f>
        <x:v>0</x:v>
      </x:c>
      <x:c r="G8" s="26" t="n">
        <x:v>0.9</x:v>
      </x:c>
      <x:c r="H8" s="26" t="n">
        <x:f>F8*G8</x:f>
        <x:v>0</x:v>
      </x:c>
      <x:c r="I8" s="24" t="str">
        <x:v>Future redundancy / commercial power</x:v>
      </x:c>
      <x:c r="J8" s="24" t="str">
        <x:v>No</x:v>
      </x:c>
      <x:c r="K8" s="24" t="str">
        <x:v>Placeholder; rating/provider TBD</x:v>
      </x:c>
    </x:row>
    <x:row r="9">
      <x:c r="A9" s="24" t="str">
        <x:v>RPS / radioisotope units</x:v>
      </x:c>
      <x:c r="B9" s="24" t="n">
        <x:v>2028</x:v>
      </x:c>
      <x:c r="C9" s="26" t="n">
        <x:v>0.5</x:v>
      </x:c>
      <x:c r="D9" s="26" t="str">
        <x:v>Firm</x:v>
      </x:c>
      <x:c r="E9" s="26" t="n">
        <x:v>2</x:v>
      </x:c>
      <x:c r="F9" s="26" t="n">
        <x:f>C9*E9</x:f>
        <x:v>1</x:v>
      </x:c>
      <x:c r="G9" s="26" t="n">
        <x:v>0.95</x:v>
      </x:c>
      <x:c r="H9" s="26" t="n">
        <x:f>F9*G9</x:f>
        <x:v>0.95</x:v>
      </x:c>
      <x:c r="I9" s="24" t="str">
        <x:v>Remote sensors, heat, black-start / survival loads</x:v>
      </x:c>
      <x:c r="J9" s="24" t="str">
        <x:v>Optional</x:v>
      </x:c>
      <x:c r="K9" s="24" t="str">
        <x:v>Architecture placeholder; unit rating mission-dependent</x:v>
      </x:c>
    </x:row>
  </x:sheetData>
  <x:mergeCells>
    <x:mergeCell ref="A1:K1"/>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28" hidden="0" customWidth="1"/>
    <x:col min="3" max="3" width="14" hidden="0" customWidth="1"/>
    <x:col min="4" max="4" width="13" hidden="0" customWidth="1"/>
    <x:col min="5" max="5" width="11" hidden="0" customWidth="1"/>
    <x:col min="6" max="6" width="14" hidden="0" customWidth="1"/>
    <x:col min="7" max="7" width="16" hidden="0" customWidth="1"/>
    <x:col min="8" max="8" width="16" hidden="0" customWidth="1"/>
    <x:col min="9" max="9" width="16" hidden="0" customWidth="1"/>
    <x:col min="10" max="10" width="18" hidden="0" customWidth="1"/>
    <x:col min="11" max="11" width="18" hidden="0" customWidth="1"/>
    <x:col min="12" max="12" width="16" hidden="0" customWidth="1"/>
    <x:col min="13" max="13" width="12" hidden="0" customWidth="1"/>
    <x:col min="14" max="14" width="38" hidden="0" customWidth="1"/>
  </x:cols>
  <x:sheetData>
    <x:row r="1" ht="28" customHeight="1">
      <x:c r="A1" s="5" t="str">
        <x:v>Notional Lunar Surface Power Distribution Panel — Engineering Concept</x:v>
      </x:c>
    </x:row>
    <x:row r="3">
      <x:c r="A3" s="14" t="str">
        <x:v>Panel / Circuit</x:v>
      </x:c>
      <x:c r="B3" s="14" t="str">
        <x:v>Load / Destination</x:v>
      </x:c>
      <x:c r="C3" s="14" t="str">
        <x:v>Priority</x:v>
      </x:c>
      <x:c r="D3" s="14" t="str">
        <x:v>Nom Load kW</x:v>
      </x:c>
      <x:c r="E3" s="14" t="str">
        <x:v>Bus VDC</x:v>
      </x:c>
      <x:c r="F3" s="14" t="str">
        <x:v>Converter Eff.</x:v>
      </x:c>
      <x:c r="G3" s="14" t="str">
        <x:v>Design Current A</x:v>
      </x:c>
      <x:c r="H3" s="14" t="str">
        <x:v>Breaker Design A</x:v>
      </x:c>
      <x:c r="I3" s="14" t="str">
        <x:v>Feeder Length m</x:v>
      </x:c>
      <x:c r="J3" s="14" t="str">
        <x:v>Conductor R Ω/km</x:v>
      </x:c>
      <x:c r="K3" s="14" t="str">
        <x:v>Round-trip Loss W</x:v>
      </x:c>
      <x:c r="L3" s="14" t="str">
        <x:v>Voltage Drop V</x:v>
      </x:c>
      <x:c r="M3" s="14" t="str">
        <x:v>Load Shed?</x:v>
      </x:c>
      <x:c r="N3" s="14" t="str">
        <x:v>Engineering Note</x:v>
      </x:c>
    </x:row>
    <x:row r="4">
      <x:c r="A4" s="24" t="str">
        <x:v>LC-01</x:v>
      </x:c>
      <x:c r="B4" s="24" t="str">
        <x:v>Habitation + ECLSS</x:v>
      </x:c>
      <x:c r="C4" s="24" t="str">
        <x:v>Critical</x:v>
      </x:c>
      <x:c r="D4" s="26" t="n">
        <x:v>4.6</x:v>
      </x:c>
      <x:c r="E4" s="26" t="n">
        <x:v>120</x:v>
      </x:c>
      <x:c r="F4" s="26" t="n">
        <x:v>0.95</x:v>
      </x:c>
      <x:c r="G4" s="26" t="n">
        <x:f>D4*1000/(E4*F4)</x:f>
        <x:v>40.35087719298246</x:v>
      </x:c>
      <x:c r="H4" s="26" t="n">
        <x:f>ROUNDUP(G4*Assumptions!B13/5,0)*5</x:f>
        <x:v>55</x:v>
      </x:c>
      <x:c r="I4" s="26" t="n">
        <x:v>40</x:v>
      </x:c>
      <x:c r="J4" s="26" t="n">
        <x:v>0.45</x:v>
      </x:c>
      <x:c r="K4" s="26" t="n">
        <x:f>G4^2*(J4/1000)*(I4*2)</x:f>
        <x:v>58.61495844875347</x:v>
      </x:c>
      <x:c r="L4" s="26" t="n">
        <x:f>G4*(J4/1000)*(I4*2)</x:f>
        <x:v>1.4526315789473685</x:v>
      </x:c>
      <x:c r="M4" s="24" t="str">
        <x:v>No</x:v>
      </x:c>
      <x:c r="N4" s="24" t="str">
        <x:v>Dual-fed local load center recommended</x:v>
      </x:c>
    </x:row>
    <x:row r="5">
      <x:c r="A5" s="24" t="str">
        <x:v>LC-02</x:v>
      </x:c>
      <x:c r="B5" s="24" t="str">
        <x:v>Thermal Control</x:v>
      </x:c>
      <x:c r="C5" s="24" t="str">
        <x:v>Critical</x:v>
      </x:c>
      <x:c r="D5" s="26" t="n">
        <x:v>1.8</x:v>
      </x:c>
      <x:c r="E5" s="26" t="n">
        <x:v>120</x:v>
      </x:c>
      <x:c r="F5" s="26" t="n">
        <x:v>0.95</x:v>
      </x:c>
      <x:c r="G5" s="26" t="n">
        <x:f>D5*1000/(E5*F5)</x:f>
        <x:v>15.789473684210526</x:v>
      </x:c>
      <x:c r="H5" s="26" t="n">
        <x:f>ROUNDUP(G5*Assumptions!B13/5,0)*5</x:f>
        <x:v>20</x:v>
      </x:c>
      <x:c r="I5" s="26" t="n">
        <x:v>40</x:v>
      </x:c>
      <x:c r="J5" s="26" t="n">
        <x:v>0.45</x:v>
      </x:c>
      <x:c r="K5" s="26" t="n">
        <x:f>G5^2*(J5/1000)*(I5*2)</x:f>
        <x:v>8.975069252077562</x:v>
      </x:c>
      <x:c r="L5" s="26" t="n">
        <x:f>G5*(J5/1000)*(I5*2)</x:f>
        <x:v>0.5684210526315789</x:v>
      </x:c>
      <x:c r="M5" s="24" t="str">
        <x:v>No</x:v>
      </x:c>
      <x:c r="N5" s="24" t="str">
        <x:v>Separate pump strings / fault isolation</x:v>
      </x:c>
    </x:row>
    <x:row r="6">
      <x:c r="A6" s="24" t="str">
        <x:v>LC-03</x:v>
      </x:c>
      <x:c r="B6" s="24" t="str">
        <x:v>Command / LTC / PNT Core</x:v>
      </x:c>
      <x:c r="C6" s="24" t="str">
        <x:v>Critical</x:v>
      </x:c>
      <x:c r="D6" s="26" t="n">
        <x:v>0.45</x:v>
      </x:c>
      <x:c r="E6" s="26" t="n">
        <x:v>120</x:v>
      </x:c>
      <x:c r="F6" s="26" t="n">
        <x:v>0.95</x:v>
      </x:c>
      <x:c r="G6" s="26" t="n">
        <x:f>D6*1000/(E6*F6)</x:f>
        <x:v>3.9473684210526314</x:v>
      </x:c>
      <x:c r="H6" s="26" t="n">
        <x:v>10</x:v>
      </x:c>
      <x:c r="I6" s="26" t="n">
        <x:v>35</x:v>
      </x:c>
      <x:c r="J6" s="26" t="n">
        <x:v>0.45</x:v>
      </x:c>
      <x:c r="K6" s="26" t="n">
        <x:f>2*(G6^2)*(J6/1000)*I6</x:f>
        <x:v>0.4908240997229917</x:v>
      </x:c>
      <x:c r="L6" s="26" t="n">
        <x:f>K6/G6</x:f>
        <x:v>0.12434210526315789</x:v>
      </x:c>
      <x:c r="M6" s="24" t="str">
        <x:v>No</x:v>
      </x:c>
      <x:c r="N6" s="24" t="str">
        <x:v>Dual-fed 28 VDC conversion; retain command, timing and navigation</x:v>
      </x:c>
    </x:row>
    <x:row r="7">
      <x:c r="A7" s="24" t="str">
        <x:v>LC-04</x:v>
      </x:c>
      <x:c r="B7" s="24" t="str">
        <x:v>Surface C&amp;PNT Safety Node</x:v>
      </x:c>
      <x:c r="C7" s="24" t="str">
        <x:v>Critical</x:v>
      </x:c>
      <x:c r="D7" s="26" t="n">
        <x:v>0.55</x:v>
      </x:c>
      <x:c r="E7" s="26" t="n">
        <x:v>120</x:v>
      </x:c>
      <x:c r="F7" s="26" t="n">
        <x:v>0.95</x:v>
      </x:c>
      <x:c r="G7" s="26" t="n">
        <x:f>D7*1000/(E7*F7)</x:f>
        <x:v>4.824561403508772</x:v>
      </x:c>
      <x:c r="H7" s="26" t="n">
        <x:v>10</x:v>
      </x:c>
      <x:c r="I7" s="26" t="n">
        <x:v>60</x:v>
      </x:c>
      <x:c r="J7" s="26" t="n">
        <x:v>0.45</x:v>
      </x:c>
      <x:c r="K7" s="26" t="n">
        <x:f>2*(G7^2)*(J7/1000)*I7</x:f>
        <x:v>1.2569252077562327</x:v>
      </x:c>
      <x:c r="L7" s="26" t="n">
        <x:f>K7/G7</x:f>
        <x:v>0.26052631578947366</x:v>
      </x:c>
      <x:c r="M7" s="24" t="str">
        <x:v>No</x:v>
      </x:c>
      <x:c r="N7" s="24" t="str">
        <x:v>Maintain emergency low-rate relay or DWE path and tracking</x:v>
      </x:c>
    </x:row>
    <x:row r="8">
      <x:c r="A8" s="24" t="str">
        <x:v>LC-05</x:v>
      </x:c>
      <x:c r="B8" s="24" t="str">
        <x:v>Galley / Hygiene</x:v>
      </x:c>
      <x:c r="C8" s="24" t="str">
        <x:v>Essential</x:v>
      </x:c>
      <x:c r="D8" s="26" t="n">
        <x:v>0.65</x:v>
      </x:c>
      <x:c r="E8" s="26" t="n">
        <x:v>120</x:v>
      </x:c>
      <x:c r="F8" s="26" t="n">
        <x:v>0.95</x:v>
      </x:c>
      <x:c r="G8" s="26" t="n">
        <x:f>D8*1000/(E8*F8)</x:f>
        <x:v>5.701754385964913</x:v>
      </x:c>
      <x:c r="H8" s="26" t="n">
        <x:f>ROUNDUP(G8*Assumptions!B13/5,0)*5</x:f>
        <x:v>10</x:v>
      </x:c>
      <x:c r="I8" s="26" t="n">
        <x:v>30</x:v>
      </x:c>
      <x:c r="J8" s="26" t="n">
        <x:v>0.45</x:v>
      </x:c>
      <x:c r="K8" s="26" t="n">
        <x:f>G8^2*(J8/1000)*(I8*2)</x:f>
        <x:v>0.8777700831024932</x:v>
      </x:c>
      <x:c r="L8" s="26" t="n">
        <x:f>G8*(J8/1000)*(I8*2)</x:f>
        <x:v>0.15394736842105264</x:v>
      </x:c>
      <x:c r="M8" s="24" t="str">
        <x:v>Yes</x:v>
      </x:c>
      <x:c r="N8" s="24" t="str">
        <x:v>Time-shift high peak appliances</x:v>
      </x:c>
    </x:row>
    <x:row r="9">
      <x:c r="A9" s="24" t="str">
        <x:v>LC-06</x:v>
      </x:c>
      <x:c r="B9" s="24" t="str">
        <x:v>Science Lab</x:v>
      </x:c>
      <x:c r="C9" s="24" t="str">
        <x:v>Discretionary</x:v>
      </x:c>
      <x:c r="D9" s="26" t="n">
        <x:v>0.8</x:v>
      </x:c>
      <x:c r="E9" s="26" t="n">
        <x:v>120</x:v>
      </x:c>
      <x:c r="F9" s="26" t="n">
        <x:v>0.95</x:v>
      </x:c>
      <x:c r="G9" s="26" t="n">
        <x:f>D9*1000/(E9*F9)</x:f>
        <x:v>7.017543859649122</x:v>
      </x:c>
      <x:c r="H9" s="26" t="n">
        <x:f>ROUNDUP(G9*Assumptions!B13/5,0)*5</x:f>
        <x:v>10</x:v>
      </x:c>
      <x:c r="I9" s="26" t="n">
        <x:v>50</x:v>
      </x:c>
      <x:c r="J9" s="26" t="n">
        <x:v>0.45</x:v>
      </x:c>
      <x:c r="K9" s="26" t="n">
        <x:f>G9^2*(J9/1000)*(I9*2)</x:f>
        <x:v>2.2160664819944595</x:v>
      </x:c>
      <x:c r="L9" s="26" t="n">
        <x:f>G9*(J9/1000)*(I9*2)</x:f>
        <x:v>0.3157894736842105</x:v>
      </x:c>
      <x:c r="M9" s="24" t="str">
        <x:v>Yes</x:v>
      </x:c>
      <x:c r="N9" s="24" t="str">
        <x:v>Shed first during constrained generation</x:v>
      </x:c>
    </x:row>
    <x:row r="10">
      <x:c r="A10" s="24" t="str">
        <x:v>LC-07</x:v>
      </x:c>
      <x:c r="B10" s="24" t="str">
        <x:v>Plant Module</x:v>
      </x:c>
      <x:c r="C10" s="24" t="str">
        <x:v>Essential</x:v>
      </x:c>
      <x:c r="D10" s="26" t="n">
        <x:v>1.05</x:v>
      </x:c>
      <x:c r="E10" s="26" t="n">
        <x:v>120</x:v>
      </x:c>
      <x:c r="F10" s="26" t="n">
        <x:v>0.95</x:v>
      </x:c>
      <x:c r="G10" s="26" t="n">
        <x:f>D10*1000/(E10*F10)</x:f>
        <x:v>9.210526315789474</x:v>
      </x:c>
      <x:c r="H10" s="26" t="n">
        <x:f>ROUNDUP(G10*Assumptions!B13/5,0)*5</x:f>
        <x:v>15</x:v>
      </x:c>
      <x:c r="I10" s="26" t="n">
        <x:v>70</x:v>
      </x:c>
      <x:c r="J10" s="26" t="n">
        <x:v>0.45</x:v>
      </x:c>
      <x:c r="K10" s="26" t="n">
        <x:f>G10^2*(J10/1000)*(I10*2)</x:f>
        <x:v>5.344529085872578</x:v>
      </x:c>
      <x:c r="L10" s="26" t="n">
        <x:f>G10*(J10/1000)*(I10*2)</x:f>
        <x:v>0.5802631578947369</x:v>
      </x:c>
      <x:c r="M10" s="24" t="str">
        <x:v>Partial</x:v>
      </x:c>
      <x:c r="N10" s="24" t="str">
        <x:v>Separate pump/control bus from lighting</x:v>
      </x:c>
    </x:row>
    <x:row r="11">
      <x:c r="A11" s="24" t="str">
        <x:v>HV-01</x:v>
      </x:c>
      <x:c r="B11" s="24" t="str">
        <x:v>Rover / EVA charging node</x:v>
      </x:c>
      <x:c r="C11" s="24" t="str">
        <x:v>Essential</x:v>
      </x:c>
      <x:c r="D11" s="26" t="n">
        <x:v>1</x:v>
      </x:c>
      <x:c r="E11" s="26" t="n">
        <x:v>800</x:v>
      </x:c>
      <x:c r="F11" s="26" t="n">
        <x:v>0.95</x:v>
      </x:c>
      <x:c r="G11" s="26" t="n">
        <x:f>D11*1000/(E11*F11)</x:f>
        <x:v>1.3157894736842106</x:v>
      </x:c>
      <x:c r="H11" s="26" t="n">
        <x:f>ROUNDUP(G11*Assumptions!B13/5,0)*5</x:f>
        <x:v>5</x:v>
      </x:c>
      <x:c r="I11" s="26" t="n">
        <x:v>300</x:v>
      </x:c>
      <x:c r="J11" s="26" t="n">
        <x:v>0.12</x:v>
      </x:c>
      <x:c r="K11" s="26" t="n">
        <x:f>G11^2*(J11/1000)*(I11*2)</x:f>
        <x:v>0.12465373961218837</x:v>
      </x:c>
      <x:c r="L11" s="26" t="n">
        <x:f>G11*(J11/1000)*(I11*2)</x:f>
        <x:v>0.09473684210526316</x:v>
      </x:c>
      <x:c r="M11" s="24" t="str">
        <x:v>Yes</x:v>
      </x:c>
      <x:c r="N11" s="24" t="str">
        <x:v>HV trunk reduces current; local step-down</x:v>
      </x:c>
    </x:row>
    <x:row r="12">
      <x:c r="A12" s="24" t="str">
        <x:v>HV-02</x:v>
      </x:c>
      <x:c r="B12" s="24" t="str">
        <x:v>ISRU / construction pilot</x:v>
      </x:c>
      <x:c r="C12" s="24" t="str">
        <x:v>Discretionary</x:v>
      </x:c>
      <x:c r="D12" s="26" t="n">
        <x:v>0.45</x:v>
      </x:c>
      <x:c r="E12" s="26" t="n">
        <x:v>800</x:v>
      </x:c>
      <x:c r="F12" s="26" t="n">
        <x:v>0.95</x:v>
      </x:c>
      <x:c r="G12" s="26" t="n">
        <x:f>D12*1000/(E12*F12)</x:f>
        <x:v>0.5921052631578947</x:v>
      </x:c>
      <x:c r="H12" s="26" t="n">
        <x:f>ROUNDUP(G12*Assumptions!B13/5,0)*5</x:f>
        <x:v>5</x:v>
      </x:c>
      <x:c r="I12" s="26" t="n">
        <x:v>500</x:v>
      </x:c>
      <x:c r="J12" s="26" t="n">
        <x:v>0.12</x:v>
      </x:c>
      <x:c r="K12" s="26" t="n">
        <x:f>G12^2*(J12/1000)*(I12*2)</x:f>
        <x:v>0.04207063711911357</x:v>
      </x:c>
      <x:c r="L12" s="26" t="n">
        <x:f>G12*(J12/1000)*(I12*2)</x:f>
        <x:v>0.07105263157894735</x:v>
      </x:c>
      <x:c r="M12" s="24" t="str">
        <x:v>Yes</x:v>
      </x:c>
      <x:c r="N12" s="24" t="str">
        <x:v>Schedule around crew/load peaks</x:v>
      </x:c>
    </x:row>
    <x:row r="13">
      <x:c r="A13" s="24" t="str">
        <x:v>HV-03</x:v>
      </x:c>
      <x:c r="B13" s="24" t="str">
        <x:v>Remote solar / source intertie</x:v>
      </x:c>
      <x:c r="C13" s="24" t="str">
        <x:v>Critical</x:v>
      </x:c>
      <x:c r="D13" s="26" t="n">
        <x:v>10</x:v>
      </x:c>
      <x:c r="E13" s="26" t="n">
        <x:v>800</x:v>
      </x:c>
      <x:c r="F13" s="26" t="n">
        <x:v>0.95</x:v>
      </x:c>
      <x:c r="G13" s="26" t="n">
        <x:f>D13*1000/(E13*F13)</x:f>
        <x:v>13.157894736842104</x:v>
      </x:c>
      <x:c r="H13" s="26" t="n">
        <x:f>ROUNDUP(G13*Assumptions!B13/5,0)*5</x:f>
        <x:v>20</x:v>
      </x:c>
      <x:c r="I13" s="26" t="n">
        <x:v>500</x:v>
      </x:c>
      <x:c r="J13" s="26" t="n">
        <x:v>0.12</x:v>
      </x:c>
      <x:c r="K13" s="26" t="n">
        <x:f>G13^2*(J13/1000)*(I13*2)</x:f>
        <x:v>20.775623268698055</x:v>
      </x:c>
      <x:c r="L13" s="26" t="n">
        <x:f>G13*(J13/1000)*(I13*2)</x:f>
        <x:v>1.5789473684210524</x:v>
      </x:c>
      <x:c r="M13" s="24" t="str">
        <x:v>No</x:v>
      </x:c>
      <x:c r="N13" s="24" t="str">
        <x:v>Illustrative high-voltage source intertie</x:v>
      </x:c>
    </x:row>
    <x:row r="14">
      <x:c r="A14" s="24" t="str">
        <x:v>LC-04B</x:v>
      </x:c>
      <x:c r="B14" s="24" t="str">
        <x:v>High-Rate Comms / Observability</x:v>
      </x:c>
      <x:c r="C14" s="24" t="str">
        <x:v>Discretionary</x:v>
      </x:c>
      <x:c r="D14" s="24" t="n">
        <x:v>0.5</x:v>
      </x:c>
      <x:c r="E14" s="24" t="n">
        <x:v>120</x:v>
      </x:c>
      <x:c r="F14" s="24" t="n">
        <x:v>0.95</x:v>
      </x:c>
      <x:c r="G14" s="24" t="n">
        <x:f>D14*1000/(E14*F14)</x:f>
        <x:v>4.385964912280702</x:v>
      </x:c>
      <x:c r="H14" s="24" t="n">
        <x:v>10</x:v>
      </x:c>
      <x:c r="I14" s="24" t="n">
        <x:v>60</x:v>
      </x:c>
      <x:c r="J14" s="24" t="n">
        <x:v>0.45</x:v>
      </x:c>
      <x:c r="K14" s="24" t="n">
        <x:f>2*(G14^2)*(J14/1000)*I14</x:f>
        <x:v>1.0387811634349031</x:v>
      </x:c>
      <x:c r="L14" s="24" t="n">
        <x:f>K14/G14</x:f>
        <x:v>0.23684210526315788</x:v>
      </x:c>
      <x:c r="M14" s="24" t="str">
        <x:v>Yes</x:v>
      </x:c>
      <x:c r="N14" s="24" t="str">
        <x:v>Scale HD/UHD video and queue bulk observation data before safety links</x:v>
      </x:c>
    </x:row>
    <x:row r="15">
      <x:c r="A15" s="24"/>
      <x:c r="B15" s="24"/>
      <x:c r="C15" s="24"/>
      <x:c r="D15" s="24"/>
      <x:c r="E15" s="24"/>
      <x:c r="F15" s="24"/>
      <x:c r="G15" s="24"/>
      <x:c r="H15" s="24"/>
      <x:c r="I15" s="24"/>
      <x:c r="J15" s="24"/>
      <x:c r="K15" s="24"/>
      <x:c r="L15" s="24"/>
      <x:c r="M15" s="24"/>
      <x:c r="N15" s="24"/>
    </x:row>
    <x:row r="16">
      <x:c r="A16" s="46" t="str">
        <x:v>Architecture rules</x:v>
      </x:c>
      <x:c r="B16" s="46" t="str"/>
      <x:c r="C16" s="46" t="str"/>
      <x:c r="D16" s="46" t="str"/>
      <x:c r="E16" s="46" t="str"/>
      <x:c r="F16" s="46" t="str"/>
      <x:c r="G16" s="46" t="str"/>
      <x:c r="H16" s="46" t="str"/>
      <x:c r="I16" s="46" t="str"/>
      <x:c r="J16" s="46" t="str"/>
      <x:c r="K16" s="46" t="str"/>
      <x:c r="L16" s="46" t="str"/>
      <x:c r="M16" s="46" t="str"/>
      <x:c r="N16" s="46" t="str"/>
    </x:row>
    <x:row r="17">
      <x:c r="A17" s="24" t="str">
        <x:v>1</x:v>
      </x:c>
      <x:c r="B17" s="24" t="str">
        <x:v>Use 120 VDC for nearby interoperable element-to-element exchange; NASA public architecture cites &lt;100 m as a practical limitation.</x:v>
      </x:c>
      <x:c r="C17" s="24"/>
      <x:c r="D17" s="24"/>
      <x:c r="E17" s="24"/>
      <x:c r="F17" s="24"/>
      <x:c r="G17" s="24"/>
      <x:c r="H17" s="24"/>
      <x:c r="I17" s="24"/>
      <x:c r="J17" s="24"/>
      <x:c r="K17" s="24"/>
      <x:c r="L17" s="24"/>
      <x:c r="M17" s="24"/>
      <x:c r="N17" s="24"/>
    </x:row>
    <x:row r="18">
      <x:c r="A18" s="24" t="str">
        <x:v>2</x:v>
      </x:c>
      <x:c r="B18" s="24" t="str">
        <x:v>For hundreds of meters to kilometers, boost voltage on trunk feeders, then convert back to 120/28 VDC near the load. Exact HVDC level remains a trade.</x:v>
      </x:c>
      <x:c r="C18" s="24"/>
      <x:c r="D18" s="24"/>
      <x:c r="E18" s="24"/>
      <x:c r="F18" s="24"/>
      <x:c r="G18" s="24"/>
      <x:c r="H18" s="24"/>
      <x:c r="I18" s="24"/>
      <x:c r="J18" s="24"/>
      <x:c r="K18" s="24"/>
      <x:c r="L18" s="24"/>
      <x:c r="M18" s="24"/>
      <x:c r="N18" s="24"/>
    </x:row>
    <x:row r="19">
      <x:c r="A19" s="24" t="str">
        <x:v>3</x:v>
      </x:c>
      <x:c r="B19" s="24" t="str">
        <x:v>Every source and load center should report voltage, current, temperature, fault status, and trip state; use sectionalizing so one fault does not collapse the base.</x:v>
      </x:c>
      <x:c r="C19" s="24"/>
      <x:c r="D19" s="24"/>
      <x:c r="E19" s="24"/>
      <x:c r="F19" s="24"/>
      <x:c r="G19" s="24"/>
      <x:c r="H19" s="24"/>
      <x:c r="I19" s="24"/>
      <x:c r="J19" s="24"/>
      <x:c r="K19" s="24"/>
      <x:c r="L19" s="24"/>
      <x:c r="M19" s="24"/>
      <x:c r="N19" s="24"/>
    </x:row>
  </x:sheetData>
  <x:mergeCells>
    <x:mergeCell ref="A1:N1"/>
    <x:mergeCell ref="B17:N17"/>
    <x:mergeCell ref="B18:N18"/>
    <x:mergeCell ref="B19:N19"/>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8" hidden="0" customWidth="1"/>
    <x:col min="3" max="3" width="14" hidden="0" customWidth="1"/>
    <x:col min="4" max="4" width="20" hidden="0" customWidth="1"/>
    <x:col min="5" max="5" width="16" hidden="0" customWidth="1"/>
    <x:col min="6" max="6" width="20" hidden="0" customWidth="1"/>
    <x:col min="7" max="7" width="22" hidden="0" customWidth="1"/>
    <x:col min="8" max="8" width="18" hidden="0" customWidth="1"/>
    <x:col min="9" max="9" width="20" hidden="0" customWidth="1"/>
    <x:col min="10" max="10" width="34" hidden="0" customWidth="1"/>
  </x:cols>
  <x:sheetData>
    <x:row r="1" ht="28" customHeight="1">
      <x:c r="A1" s="82" t="str">
        <x:v>Energy Storage and Survival Sizing</x:v>
      </x:c>
    </x:row>
    <x:row r="3">
      <x:c r="A3" s="87" t="str">
        <x:v>Scenario</x:v>
      </x:c>
      <x:c r="B3" s="87" t="str">
        <x:v>Critical / Refuge Load kW</x:v>
      </x:c>
      <x:c r="C3" s="87" t="str">
        <x:v>Autonomy h</x:v>
      </x:c>
      <x:c r="D3" s="87" t="str">
        <x:v>Required Usable kWh</x:v>
      </x:c>
      <x:c r="E3" s="87" t="str">
        <x:v>Usable Fraction</x:v>
      </x:c>
      <x:c r="F3" s="87" t="str">
        <x:v>Installed Battery kWh</x:v>
      </x:c>
      <x:c r="G3" s="87" t="str">
        <x:v>Battery-Only Endurance h</x:v>
      </x:c>
      <x:c r="H3" s="87" t="str">
        <x:v>Warm-Core Portion kW</x:v>
      </x:c>
      <x:c r="I3" s="87" t="str">
        <x:v>Thermal Increment kWh</x:v>
      </x:c>
      <x:c r="J3" s="87" t="str">
        <x:v>Design Role</x:v>
      </x:c>
    </x:row>
    <x:row r="4">
      <x:c r="A4" s="24" t="str">
        <x:v>6 crew - emergency refuge</x:v>
      </x:c>
      <x:c r="B4" s="26" t="n">
        <x:v>5.25</x:v>
      </x:c>
      <x:c r="C4" s="26" t="n">
        <x:v>24</x:v>
      </x:c>
      <x:c r="D4" s="26" t="n">
        <x:f>B4*C4</x:f>
        <x:v>126</x:v>
      </x:c>
      <x:c r="E4" s="26" t="n">
        <x:v>0.8</x:v>
      </x:c>
      <x:c r="F4" s="26" t="n">
        <x:f>D4/E4</x:f>
        <x:v>157.5</x:v>
      </x:c>
      <x:c r="G4" s="26" t="n">
        <x:f>F4*E4/B4</x:f>
        <x:v>24</x:v>
      </x:c>
      <x:c r="H4" s="26" t="n">
        <x:v>0.75</x:v>
      </x:c>
      <x:c r="I4" s="26" t="n">
        <x:f>H4*C4/E4</x:f>
        <x:v>22.5</x:v>
      </x:c>
      <x:c r="J4" s="24" t="str">
        <x:v>Minimum guaranteed rescue bridge</x:v>
      </x:c>
    </x:row>
    <x:row r="5">
      <x:c r="A5" s="24" t="str">
        <x:v>12 crew - emergency refuge</x:v>
      </x:c>
      <x:c r="B5" s="26" t="n">
        <x:v>6.75</x:v>
      </x:c>
      <x:c r="C5" s="26" t="n">
        <x:v>24</x:v>
      </x:c>
      <x:c r="D5" s="26" t="n">
        <x:f>B5*C5</x:f>
        <x:v>162</x:v>
      </x:c>
      <x:c r="E5" s="26" t="n">
        <x:v>0.8</x:v>
      </x:c>
      <x:c r="F5" s="26" t="n">
        <x:f>D5/E5</x:f>
        <x:v>202.5</x:v>
      </x:c>
      <x:c r="G5" s="26" t="n">
        <x:f>F5*E5/B5</x:f>
        <x:v>24</x:v>
      </x:c>
      <x:c r="H5" s="26" t="n">
        <x:v>0.75</x:v>
      </x:c>
      <x:c r="I5" s="26" t="n">
        <x:f>H5*C5/E5</x:f>
        <x:v>22.5</x:v>
      </x:c>
      <x:c r="J5" s="24" t="str">
        <x:v>Handover contingency</x:v>
      </x:c>
    </x:row>
    <x:row r="6">
      <x:c r="A6" s="24" t="str">
        <x:v>6 crew - full critical survival</x:v>
      </x:c>
      <x:c r="B6" s="26" t="n">
        <x:v>8.65</x:v>
      </x:c>
      <x:c r="C6" s="26" t="n">
        <x:v>12</x:v>
      </x:c>
      <x:c r="D6" s="26" t="n">
        <x:f>B6*C6</x:f>
        <x:v>103.80000000000001</x:v>
      </x:c>
      <x:c r="E6" s="26" t="n">
        <x:v>0.8</x:v>
      </x:c>
      <x:c r="F6" s="26" t="n">
        <x:f>D6/E6</x:f>
        <x:v>129.75</x:v>
      </x:c>
      <x:c r="G6" s="26" t="n">
        <x:f>F6*E6/B6</x:f>
        <x:v>12</x:v>
      </x:c>
      <x:c r="H6" s="26" t="n">
        <x:v>0.75</x:v>
      </x:c>
      <x:c r="I6" s="26" t="n">
        <x:f>H6*C6/E6</x:f>
        <x:v>11.25</x:v>
      </x:c>
      <x:c r="J6" s="24" t="str">
        <x:v>Full critical habitat bridge</x:v>
      </x:c>
    </x:row>
    <x:row r="7">
      <x:c r="A7" s="24" t="str">
        <x:v>12 crew - full critical survival</x:v>
      </x:c>
      <x:c r="B7" s="26" t="n">
        <x:v>11.35</x:v>
      </x:c>
      <x:c r="C7" s="26" t="n">
        <x:v>12</x:v>
      </x:c>
      <x:c r="D7" s="26" t="n">
        <x:f>B7*C7</x:f>
        <x:v>136.2</x:v>
      </x:c>
      <x:c r="E7" s="26" t="n">
        <x:v>0.8</x:v>
      </x:c>
      <x:c r="F7" s="26" t="n">
        <x:f>D7/E7</x:f>
        <x:v>170.24999999999997</x:v>
      </x:c>
      <x:c r="G7" s="26" t="n">
        <x:f>F7*E7/B7</x:f>
        <x:v>12</x:v>
      </x:c>
      <x:c r="H7" s="26" t="n">
        <x:v>0.75</x:v>
      </x:c>
      <x:c r="I7" s="26" t="n">
        <x:f>H7*C7/E7</x:f>
        <x:v>11.25</x:v>
      </x:c>
      <x:c r="J7" s="24" t="str">
        <x:v>Full critical handover bridge</x:v>
      </x:c>
    </x:row>
    <x:row r="8">
      <x:c r="A8" s="24" t="str">
        <x:v>Uncrewed infrastructure survival</x:v>
      </x:c>
      <x:c r="B8" s="26" t="n">
        <x:v>2.4</x:v>
      </x:c>
      <x:c r="C8" s="26" t="n">
        <x:v>72</x:v>
      </x:c>
      <x:c r="D8" s="26" t="n">
        <x:f>B8*C8</x:f>
        <x:v>172.79999999999998</x:v>
      </x:c>
      <x:c r="E8" s="26" t="n">
        <x:v>0.8</x:v>
      </x:c>
      <x:c r="F8" s="26" t="n">
        <x:f>D8/E8</x:f>
        <x:v>215.99999999999997</x:v>
      </x:c>
      <x:c r="G8" s="26" t="n">
        <x:f>F8*E8/B8</x:f>
        <x:v>72</x:v>
      </x:c>
      <x:c r="H8" s="26" t="n">
        <x:v>0.75</x:v>
      </x:c>
      <x:c r="I8" s="26" t="n">
        <x:f>H8*C8/E8</x:f>
        <x:v>67.5</x:v>
      </x:c>
      <x:c r="J8" s="24" t="str">
        <x:v>Uncrewed outage / repair window</x:v>
      </x:c>
    </x:row>
    <x:row r="9">
      <x:c r="A9" s="20" t="str">
        <x:v>12 h</x:v>
      </x:c>
      <x:c r="B9" s="34" t="n">
        <x:v>0</x:v>
      </x:c>
      <x:c r="C9" s="34" t="n">
        <x:v>0.5</x:v>
      </x:c>
      <x:c r="D9" s="34" t="n">
        <x:v>0.5</x:v>
      </x:c>
      <x:c r="E9" s="34" t="n">
        <x:v>12</x:v>
      </x:c>
      <x:c r="F9" s="34" t="n">
        <x:v>6</x:v>
      </x:c>
      <x:c r="G9" s="34" t="n">
        <x:v>0.8</x:v>
      </x:c>
      <x:c r="H9" s="34" t="n">
        <x:v>7.5</x:v>
      </x:c>
      <x:c r="I9" s="34" t="n">
        <x:v>7.5</x:v>
      </x:c>
    </x:row>
    <x:row r="10">
      <x:c r="A10" s="20" t="str">
        <x:v>24 h</x:v>
      </x:c>
      <x:c r="B10" s="34" t="n">
        <x:v>0</x:v>
      </x:c>
      <x:c r="C10" s="34" t="n">
        <x:v>0.5</x:v>
      </x:c>
      <x:c r="D10" s="34" t="n">
        <x:v>0.5</x:v>
      </x:c>
      <x:c r="E10" s="34" t="n">
        <x:v>24</x:v>
      </x:c>
      <x:c r="F10" s="34" t="n">
        <x:v>12</x:v>
      </x:c>
      <x:c r="G10" s="34" t="n">
        <x:v>0.8</x:v>
      </x:c>
      <x:c r="H10" s="34" t="n">
        <x:v>15</x:v>
      </x:c>
      <x:c r="I10" s="34" t="n">
        <x:v>15</x:v>
      </x:c>
    </x:row>
    <x:row r="11">
      <x:c r="A11" s="87" t="str">
        <x:v>Refuge Duration</x:v>
      </x:c>
      <x:c r="B11" s="92" t="str">
        <x:v>Hours</x:v>
      </x:c>
      <x:c r="C11" s="92" t="str">
        <x:v>6-Crew Energy Need kWh</x:v>
      </x:c>
      <x:c r="D11" s="92" t="str">
        <x:v>Battery Usable kWh</x:v>
      </x:c>
      <x:c r="E11" s="92" t="str">
        <x:v>Generation Energy Required kWh</x:v>
      </x:c>
      <x:c r="F11" s="92" t="str">
        <x:v>Minimum Avg Surviving Generation kW</x:v>
      </x:c>
      <x:c r="G11" s="92" t="str">
        <x:v>Interpretation</x:v>
      </x:c>
      <x:c r="H11" s="92" t="str">
        <x:v>Status</x:v>
      </x:c>
      <x:c r="I11" s="34" t="n">
        <x:v>30</x:v>
      </x:c>
    </x:row>
    <x:row r="12">
      <x:c r="A12" s="24" t="str">
        <x:v>1 day</x:v>
      </x:c>
      <x:c r="B12" s="26" t="n">
        <x:v>24</x:v>
      </x:c>
      <x:c r="C12" s="26" t="n">
        <x:f>B12*5.25</x:f>
        <x:v>126</x:v>
      </x:c>
      <x:c r="D12" s="26" t="n">
        <x:f>$F$4*$E$4</x:f>
        <x:v>126</x:v>
      </x:c>
      <x:c r="E12" s="26" t="n">
        <x:f>MAX(C12-D12,0)</x:f>
        <x:v>0</x:v>
      </x:c>
      <x:c r="F12" s="26" t="n">
        <x:f>E12/B12</x:f>
        <x:v>0</x:v>
      </x:c>
      <x:c r="G12" s="26" t="str">
        <x:v>Battery-only design point</x:v>
      </x:c>
      <x:c r="H12" s="26" t="str">
        <x:v>Engineering target</x:v>
      </x:c>
      <x:c r="I12" s="34" t="n">
        <x:v>45</x:v>
      </x:c>
    </x:row>
    <x:row r="13">
      <x:c r="A13" s="24" t="str">
        <x:v>3 days</x:v>
      </x:c>
      <x:c r="B13" s="26" t="n">
        <x:v>72</x:v>
      </x:c>
      <x:c r="C13" s="26" t="n">
        <x:f>B13*5.25</x:f>
        <x:v>378</x:v>
      </x:c>
      <x:c r="D13" s="26" t="n">
        <x:f>$F$4*$E$4</x:f>
        <x:v>126</x:v>
      </x:c>
      <x:c r="E13" s="26" t="n">
        <x:f>MAX(C13-D13,0)</x:f>
        <x:v>252</x:v>
      </x:c>
      <x:c r="F13" s="26" t="n">
        <x:f>E13/B13</x:f>
        <x:v>3.5</x:v>
      </x:c>
      <x:c r="G13" s="24" t="str">
        <x:v>Short rescue / major repair window</x:v>
      </x:c>
      <x:c r="H13" s="24" t="str">
        <x:v>Engineering target</x:v>
      </x:c>
      <x:c r="I13" s="20"/>
    </x:row>
    <x:row r="14">
      <x:c r="A14" s="24" t="str">
        <x:v>7 days</x:v>
      </x:c>
      <x:c r="B14" s="26" t="n">
        <x:v>168</x:v>
      </x:c>
      <x:c r="C14" s="26" t="n">
        <x:f>B14*5.25</x:f>
        <x:v>882</x:v>
      </x:c>
      <x:c r="D14" s="26" t="n">
        <x:f>$F$4*$E$4</x:f>
        <x:v>126</x:v>
      </x:c>
      <x:c r="E14" s="26" t="n">
        <x:f>MAX(C14-D14,0)</x:f>
        <x:v>756</x:v>
      </x:c>
      <x:c r="F14" s="26" t="n">
        <x:f>E14/B14</x:f>
        <x:v>4.5</x:v>
      </x:c>
      <x:c r="G14" s="24" t="str">
        <x:v>Minimum external-rescue safe-haven target</x:v>
      </x:c>
      <x:c r="H14" s="24" t="str">
        <x:v>Engineering target</x:v>
      </x:c>
      <x:c r="I14" s="20" t="str"/>
    </x:row>
    <x:row r="15">
      <x:c r="A15" s="24" t="str">
        <x:v>14 days</x:v>
      </x:c>
      <x:c r="B15" s="26" t="n">
        <x:v>336</x:v>
      </x:c>
      <x:c r="C15" s="26" t="n">
        <x:f>B15*5.25</x:f>
        <x:v>1764</x:v>
      </x:c>
      <x:c r="D15" s="26" t="n">
        <x:f>$F$4*$E$4</x:f>
        <x:v>126</x:v>
      </x:c>
      <x:c r="E15" s="26" t="n">
        <x:f>MAX(C15-D15,0)</x:f>
        <x:v>1638</x:v>
      </x:c>
      <x:c r="F15" s="26" t="n">
        <x:f>E15/B15</x:f>
        <x:v>4.875</x:v>
      </x:c>
      <x:c r="G15" s="24" t="str">
        <x:v>Stretch survivability target</x:v>
      </x:c>
      <x:c r="H15" s="24" t="str">
        <x:v>Engineering target</x:v>
      </x:c>
      <x:c r="I15" s="20" t="str"/>
    </x:row>
    <x:row r="16">
      <x:c r="A16" s="20" t="str">
        <x:v>Freeze/thaw battery hibernation is retained as a separate technology path for robotic or contingency use; it is not the baseline crewed-utility-node operating mode.</x:v>
      </x:c>
      <x:c r="B16" s="20" t="str"/>
      <x:c r="C16" s="20" t="str"/>
      <x:c r="D16" s="20" t="str"/>
      <x:c r="E16" s="20" t="str"/>
      <x:c r="F16" s="20" t="str"/>
      <x:c r="G16" s="20" t="str"/>
      <x:c r="H16" s="20" t="str"/>
      <x:c r="I16" s="20" t="str"/>
    </x:row>
    <x:row r="17">
      <x:c r="A17" s="24" t="str">
        <x:v>Rescue architecture rule: battery sizing guarantees the first 24 h in refuge with zero generation. A 7-day safe haven is achieved by combining storage with at least one independent surviving generation path; do not assume an Earth rescue asset can arrive inside the battery-only window.</x:v>
      </x:c>
      <x:c r="B17" s="24"/>
      <x:c r="C17" s="24"/>
      <x:c r="D17" s="24"/>
      <x:c r="E17" s="24"/>
      <x:c r="F17" s="24"/>
      <x:c r="G17" s="24"/>
      <x:c r="H17" s="24"/>
      <x:c r="I17" s="24"/>
      <x:c r="J17" s="24"/>
    </x:row>
  </x:sheetData>
  <x:mergeCells>
    <x:mergeCell ref="A15:I15"/>
    <x:mergeCell ref="A16:I16"/>
    <x:mergeCell ref="A1:J1"/>
    <x:mergeCell ref="A17:J17"/>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6" hidden="0" customWidth="1"/>
    <x:col min="3" max="3" width="18" hidden="0" customWidth="1"/>
    <x:col min="4" max="4" width="34" hidden="0" customWidth="1"/>
    <x:col min="5" max="5" width="3" hidden="0" customWidth="1"/>
    <x:col min="6" max="6" width="22" hidden="0" customWidth="1"/>
    <x:col min="7" max="7" width="17" hidden="0" customWidth="1"/>
    <x:col min="8" max="8" width="18" hidden="0" customWidth="1"/>
    <x:col min="9" max="9" width="18" hidden="0" customWidth="1"/>
    <x:col min="10" max="10" width="24" hidden="0" customWidth="1"/>
    <x:col min="11" max="11" width="18" hidden="0" customWidth="1"/>
    <x:col min="12" max="12" width="34" hidden="0" customWidth="1"/>
  </x:cols>
  <x:sheetData>
    <x:row r="1" ht="28" customHeight="1">
      <x:c r="A1" s="5" t="str">
        <x:v>Lunar South Pole Base Power and Facilities Dashboard v6.1 Working Engineering Model</x:v>
      </x:c>
    </x:row>
    <x:row r="3">
      <x:c r="A3" s="14" t="str">
        <x:v>OPERATING MODE</x:v>
      </x:c>
      <x:c r="B3" s="14" t="str">
        <x:v>6 CREW</x:v>
      </x:c>
      <x:c r="C3" s="14" t="str">
        <x:v>12 CREW HANDOVER</x:v>
      </x:c>
      <x:c r="D3" s="14" t="str">
        <x:v>ENGINEERING NOTE</x:v>
      </x:c>
      <x:c r="F3" s="14" t="str">
        <x:v>POWER ARCHITECTURE</x:v>
      </x:c>
      <x:c r="G3" s="14"/>
      <x:c r="H3" s="14"/>
      <x:c r="I3" s="14"/>
      <x:c r="J3" s="14"/>
      <x:c r="K3" s="14"/>
      <x:c r="L3" s="14"/>
    </x:row>
    <x:row r="4">
      <x:c r="A4" s="24" t="str">
        <x:v>Average station load (kW)</x:v>
      </x:c>
      <x:c r="B4" s="26" t="n">
        <x:f>'Facilities &amp; Loads'!C18</x:f>
        <x:v>12.500000000000002</x:v>
      </x:c>
      <x:c r="C4" s="26" t="n">
        <x:f>'Facilities &amp; Loads'!D18</x:f>
        <x:v>17.500000000000004</x:v>
      </x:c>
      <x:c r="D4" s="24" t="str">
        <x:v>Facility model total</x:v>
      </x:c>
      <x:c r="F4" s="14" t="str">
        <x:v>Source / Element</x:v>
      </x:c>
      <x:c r="G4" s="14" t="str">
        <x:v>2028</x:v>
      </x:c>
      <x:c r="H4" s="14" t="str">
        <x:v>2030</x:v>
      </x:c>
      <x:c r="I4" s="14" t="str">
        <x:v>2032+</x:v>
      </x:c>
      <x:c r="J4" s="14" t="str">
        <x:v>Role</x:v>
      </x:c>
      <x:c r="K4" s="14" t="str">
        <x:v>Status</x:v>
      </x:c>
      <x:c r="L4" s="14" t="str">
        <x:v>Comment</x:v>
      </x:c>
    </x:row>
    <x:row r="5">
      <x:c r="A5" s="24" t="str">
        <x:v>Daily energy (kWh/day)</x:v>
      </x:c>
      <x:c r="B5" s="26" t="n">
        <x:f>B4*24</x:f>
        <x:v>300.00000000000006</x:v>
      </x:c>
      <x:c r="C5" s="26" t="n">
        <x:f>C4*24</x:f>
        <x:v>420.0000000000001</x:v>
      </x:c>
      <x:c r="D5" s="24" t="str">
        <x:v>Average × 24 h</x:v>
      </x:c>
      <x:c r="F5" s="24" t="str">
        <x:v>10 kW VSAT arrays</x:v>
      </x:c>
      <x:c r="G5" s="24" t="str">
        <x:v>20 kW installed</x:v>
      </x:c>
      <x:c r="H5" s="24" t="str">
        <x:v>20 kW installed</x:v>
      </x:c>
      <x:c r="I5" s="24" t="str">
        <x:v>20–50+ kW</x:v>
      </x:c>
      <x:c r="J5" s="24" t="str">
        <x:v>Variable solar</x:v>
      </x:c>
      <x:c r="K5" s="24" t="str">
        <x:v>NASA path</x:v>
      </x:c>
      <x:c r="L5" s="24" t="str">
        <x:v>Near-continuous at favorable south-pole sites; not guaranteed continuous</x:v>
      </x:c>
    </x:row>
    <x:row r="6">
      <x:c r="A6" s="24" t="str">
        <x:v>Estimated peak (kW)</x:v>
      </x:c>
      <x:c r="B6" s="26" t="n">
        <x:f>B4*Assumptions!B8</x:f>
        <x:v>20.625000000000004</x:v>
      </x:c>
      <x:c r="C6" s="26" t="n">
        <x:f>C4*Assumptions!B9</x:f>
        <x:v>30.625000000000007</x:v>
      </x:c>
      <x:c r="D6" s="24" t="str">
        <x:v>Average × scenario peak factor</x:v>
      </x:c>
      <x:c r="F6" s="24" t="str">
        <x:v>Fission surface power</x:v>
      </x:c>
      <x:c r="G6" s="24" t="str">
        <x:v>—</x:v>
      </x:c>
      <x:c r="H6" s="24" t="str">
        <x:v>40 kW-class</x:v>
      </x:c>
      <x:c r="I6" s="24" t="str">
        <x:v>40 kW+</x:v>
      </x:c>
      <x:c r="J6" s="24" t="str">
        <x:v>Firm baseload</x:v>
      </x:c>
      <x:c r="K6" s="24" t="str">
        <x:v>NASA target</x:v>
      </x:c>
      <x:c r="L6" s="24" t="str">
        <x:v>Lunar Reactor-1 target 2030</x:v>
      </x:c>
    </x:row>
    <x:row r="7">
      <x:c r="A7" s="24" t="str">
        <x:v>Full-critical battery target (kWh)</x:v>
      </x:c>
      <x:c r="B7" s="26" t="n">
        <x:f>Storage!F6</x:f>
        <x:v>129.75</x:v>
      </x:c>
      <x:c r="C7" s="26" t="n">
        <x:f>Storage!F7</x:f>
        <x:v>170.24999999999997</x:v>
      </x:c>
      <x:c r="D7" s="24" t="str">
        <x:v>12 h full-critical bridge / 80% usable fraction</x:v>
      </x:c>
      <x:c r="F7" s="24" t="str">
        <x:v>50 kW-class solar</x:v>
      </x:c>
      <x:c r="G7" s="24" t="str">
        <x:v>—</x:v>
      </x:c>
      <x:c r="H7" s="24" t="str">
        <x:v>—</x:v>
      </x:c>
      <x:c r="I7" s="24" t="str">
        <x:v>50 kW-class</x:v>
      </x:c>
      <x:c r="J7" s="24" t="str">
        <x:v>Expansion solar</x:v>
      </x:c>
      <x:c r="K7" s="24" t="str">
        <x:v>Technology path</x:v>
      </x:c>
      <x:c r="L7" s="24" t="str">
        <x:v>Useful for daytime/process/plant loads</x:v>
      </x:c>
    </x:row>
    <x:row r="8">
      <x:c r="A8" s="24" t="str">
        <x:v>Installed firm fission (2030+) kW</x:v>
      </x:c>
      <x:c r="B8" s="26" t="n">
        <x:v>40</x:v>
      </x:c>
      <x:c r="C8" s="26" t="n">
        <x:v>40</x:v>
      </x:c>
      <x:c r="D8" s="24" t="str">
        <x:v>NASA/DOE 40 kW-class basis</x:v>
      </x:c>
      <x:c r="F8" s="24" t="str">
        <x:v>Battery/storage</x:v>
      </x:c>
      <x:c r="G8" s="24" t="str">
        <x:v>Required</x:v>
      </x:c>
      <x:c r="H8" s="24" t="str">
        <x:v>Required</x:v>
      </x:c>
      <x:c r="I8" s="24" t="str">
        <x:v>Required</x:v>
      </x:c>
      <x:c r="J8" s="24" t="str">
        <x:v>Ride-through / peak</x:v>
      </x:c>
      <x:c r="K8" s="24" t="str">
        <x:v>Architecture</x:v>
      </x:c>
      <x:c r="L8" s="24" t="str">
        <x:v>Size driven by critical autonomy, source mix, shadow periods</x:v>
      </x:c>
    </x:row>
    <x:row r="9">
      <x:c r="A9" s="24" t="str">
        <x:v>Local exchange voltage</x:v>
      </x:c>
      <x:c r="B9" s="26" t="n">
        <x:v>120</x:v>
      </x:c>
      <x:c r="C9" s="26" t="n">
        <x:v>120</x:v>
      </x:c>
      <x:c r="D9" s="24" t="str">
        <x:v>NASA surface power exchange / ISPSIS</x:v>
      </x:c>
      <x:c r="F9" s="24" t="str">
        <x:v>Long feeders</x:v>
      </x:c>
      <x:c r="G9" s="24" t="str">
        <x:v>Demo / early</x:v>
      </x:c>
      <x:c r="H9" s="24" t="str">
        <x:v>Cluster build</x:v>
      </x:c>
      <x:c r="I9" s="24" t="str">
        <x:v>Grid-like</x:v>
      </x:c>
      <x:c r="J9" s="24" t="str">
        <x:v>Power transport</x:v>
      </x:c>
      <x:c r="K9" s="24" t="str">
        <x:v>Architecture</x:v>
      </x:c>
      <x:c r="L9" s="24" t="str">
        <x:v>Use HV trunk trade + local 120 VDC conversion</x:v>
      </x:c>
    </x:row>
    <x:row r="10">
      <x:c r="A10" t="str">
        <x:v>Warm-core survival load (kW)</x:v>
      </x:c>
      <x:c r="B10" s="27" t="n">
        <x:f>Assumptions!B23</x:f>
        <x:v>0.75</x:v>
      </x:c>
      <x:c r="C10" s="27" t="n">
        <x:f>Assumptions!B23</x:f>
        <x:v>0.75</x:v>
      </x:c>
      <x:c r="D10" t="str">
        <x:v>Outage value; normal operation may recover converter waste heat</x:v>
      </x:c>
      <x:c r="F10" s="24" t="str">
        <x:v>Plant module</x:v>
      </x:c>
      <x:c r="G10" s="24" t="str">
        <x:v>Tech demo</x:v>
      </x:c>
      <x:c r="H10" s="24" t="str">
        <x:v>25 m² initial</x:v>
      </x:c>
      <x:c r="I10" s="24" t="str">
        <x:v>50–100+ m²</x:v>
      </x:c>
      <x:c r="J10" s="24" t="str">
        <x:v>Food/science/ECLSS</x:v>
      </x:c>
      <x:c r="K10" s="24" t="str">
        <x:v>Our concept</x:v>
      </x:c>
      <x:c r="L10" s="24" t="str">
        <x:v>Scale by repeatable modules</x:v>
      </x:c>
    </x:row>
    <x:row r="12">
      <x:c r="A12" s="14" t="str">
        <x:v>WHAT THE DASHBOARD MUST TRACK</x:v>
      </x:c>
      <x:c r="B12" s="14"/>
      <x:c r="C12" s="14"/>
      <x:c r="D12" s="14"/>
      <x:c r="E12" s="14"/>
      <x:c r="F12" s="63" t="str">
        <x:v>LOGISTICS / BUILDOUT LIMITS</x:v>
      </x:c>
      <x:c r="G12" s="63"/>
      <x:c r="H12" s="63"/>
      <x:c r="I12" s="63"/>
      <x:c r="J12" s="63"/>
      <x:c r="K12" s="63"/>
      <x:c r="L12" s="63"/>
    </x:row>
    <x:row r="13">
      <x:c r="A13" s="24" t="str">
        <x:v>1</x:v>
      </x:c>
      <x:c r="B13" s="24" t="str">
        <x:v>Crew state</x:v>
      </x:c>
      <x:c r="C13" s="24" t="str">
        <x:v>6 / 12 / unoccupied</x:v>
      </x:c>
      <x:c r="D13" s="24" t="str">
        <x:v>2</x:v>
      </x:c>
      <x:c r="E13" s="24" t="str">
        <x:v>Generation available</x:v>
      </x:c>
      <x:c r="F13" s="63" t="str">
        <x:v>Metric</x:v>
      </x:c>
      <x:c r="G13" s="63" t="str">
        <x:v>Low / Initial</x:v>
      </x:c>
      <x:c r="H13" s="63" t="str">
        <x:v>Nominal</x:v>
      </x:c>
      <x:c r="I13" s="63" t="str">
        <x:v>High / Mature</x:v>
      </x:c>
      <x:c r="J13" s="63" t="str">
        <x:v>Meaning</x:v>
      </x:c>
      <x:c r="K13" s="63" t="str">
        <x:v>Status</x:v>
      </x:c>
      <x:c r="L13" s="63" t="str">
        <x:v>Source</x:v>
      </x:c>
    </x:row>
    <x:row r="14">
      <x:c r="A14" s="24" t="str">
        <x:v>5</x:v>
      </x:c>
      <x:c r="B14" s="24" t="str">
        <x:v>Solar geometry</x:v>
      </x:c>
      <x:c r="C14" s="24" t="str">
        <x:v>illumination / shadow</x:v>
      </x:c>
      <x:c r="D14" s="24" t="str">
        <x:v>6</x:v>
      </x:c>
      <x:c r="E14" s="24" t="str">
        <x:v>Battery SOC</x:v>
      </x:c>
      <x:c r="F14" s="24" t="str">
        <x:v>Large cargo lander payload</x:v>
      </x:c>
      <x:c r="G14" s="24" t="str">
        <x:v>12,000 kg</x:v>
      </x:c>
      <x:c r="H14" s="24" t="str">
        <x:v>13,500 kg</x:v>
      </x:c>
      <x:c r="I14" s="24" t="str">
        <x:v>15,000 kg</x:v>
      </x:c>
      <x:c r="J14" s="24" t="str">
        <x:v>Occasional heavy element delivery</x:v>
      </x:c>
      <x:c r="K14" s="24" t="str">
        <x:v>NASA current capability target</x:v>
      </x:c>
      <x:c r="L14" s="24" t="str">
        <x:v>NASA HLS cargo</x:v>
      </x:c>
    </x:row>
    <x:row r="15">
      <x:c r="A15" s="24" t="str">
        <x:v>9</x:v>
      </x:c>
      <x:c r="B15" s="24" t="str">
        <x:v>Feeder thermal state</x:v>
      </x:c>
      <x:c r="C15" s="24" t="str">
        <x:v>I²R + cable temperature</x:v>
      </x:c>
      <x:c r="D15" s="24" t="str">
        <x:v>10</x:v>
      </x:c>
      <x:c r="E15" s="24" t="str">
        <x:v>Dust/connectors</x:v>
      </x:c>
      <x:c r="F15" s="24" t="str">
        <x:v>Recurring cargo demand / yr</x:v>
      </x:c>
      <x:c r="G15" s="24" t="str">
        <x:v>2,500 kg</x:v>
      </x:c>
      <x:c r="H15" s="24" t="str">
        <x:v>6,250 kg</x:v>
      </x:c>
      <x:c r="I15" s="24" t="str">
        <x:v>10,000 kg</x:v>
      </x:c>
      <x:c r="J15" s="24" t="str">
        <x:v>All logistics, not only power</x:v>
      </x:c>
      <x:c r="K15" s="24" t="str">
        <x:v>NASA forecast</x:v>
      </x:c>
      <x:c r="L15" s="24" t="str">
        <x:v>NASA Lunar Surface Cargo</x:v>
      </x:c>
    </x:row>
    <x:row r="16">
      <x:c r="A16" s="24" t="str">
        <x:v>13</x:v>
      </x:c>
      <x:c r="B16" s="24" t="str">
        <x:v>Maintenance state</x:v>
      </x:c>
      <x:c r="C16" s="24" t="str">
        <x:v>failed / isolated / spare</x:v>
      </x:c>
      <x:c r="D16" s="24" t="str">
        <x:v>14</x:v>
      </x:c>
      <x:c r="E16" s="24" t="str">
        <x:v>Communications</x:v>
      </x:c>
      <x:c r="F16" s="24" t="str">
        <x:v>Seed battery</x:v>
      </x:c>
      <x:c r="G16" s="24" t="str">
        <x:v>50 kWh</x:v>
      </x:c>
      <x:c r="H16" s="24" t="str">
        <x:v>100 kWh</x:v>
      </x:c>
      <x:c r="I16" s="24" t="str">
        <x:v>150 kWh</x:v>
      </x:c>
      <x:c r="J16" s="24" t="str">
        <x:v>First autonomous node</x:v>
      </x:c>
      <x:c r="K16" s="24" t="str">
        <x:v>Engineering scenario</x:v>
      </x:c>
      <x:c r="L16" s="24" t="str">
        <x:v>LOGIC model</x:v>
      </x:c>
    </x:row>
    <x:row r="17">
      <x:c r="A17" s="24" t="str">
        <x:v>17</x:v>
      </x:c>
      <x:c r="B17" s="24" t="str">
        <x:v>Logistics</x:v>
      </x:c>
      <x:c r="C17" s="24" t="str">
        <x:v>spares / cable / converter inventory</x:v>
      </x:c>
      <x:c r="D17" s="24" t="str">
        <x:v>18</x:v>
      </x:c>
      <x:c r="E17" s="24" t="str">
        <x:v>Safety</x:v>
      </x:c>
      <x:c r="F17" s="24" t="str">
        <x:v>Utility node count by 2033</x:v>
      </x:c>
      <x:c r="G17" s="24" t="str">
        <x:v>3</x:v>
      </x:c>
      <x:c r="H17" s="24" t="str">
        <x:v>4</x:v>
      </x:c>
      <x:c r="I17" s="24" t="str">
        <x:v>5</x:v>
      </x:c>
      <x:c r="J17" s="24" t="str">
        <x:v>Modular microgrid growth</x:v>
      </x:c>
      <x:c r="K17" s="24" t="str">
        <x:v>Engineering scenario</x:v>
      </x:c>
      <x:c r="L17" s="24" t="str">
        <x:v>LOGIC model</x:v>
      </x:c>
    </x:row>
    <x:row r="18">
      <x:c r="F18" s="24" t="str">
        <x:v>Plant crop area by 2033</x:v>
      </x:c>
      <x:c r="G18" s="24" t="str">
        <x:v>25 m²</x:v>
      </x:c>
      <x:c r="H18" s="24" t="str">
        <x:v>50 m²</x:v>
      </x:c>
      <x:c r="I18" s="24" t="str">
        <x:v>100 m²</x:v>
      </x:c>
      <x:c r="J18" s="24" t="str">
        <x:v>Expandable crop area</x:v>
      </x:c>
      <x:c r="K18" s="24" t="str">
        <x:v>Engineering scenario</x:v>
      </x:c>
      <x:c r="L18" s="24" t="str">
        <x:v>LOGIC model</x:v>
      </x:c>
    </x:row>
    <x:row r="19">
      <x:c r="A19" s="50" t="str">
        <x:v>Key point</x:v>
      </x:c>
      <x:c r="B19" s="50" t="str">
        <x:v>This is a base microgrid, not one giant power panel. The dashboard should show source nodes, storage nodes, load centers, feeder segments, and switchgear states as a network.</x:v>
      </x:c>
      <x:c r="C19" s="50"/>
      <x:c r="D19" s="50"/>
      <x:c r="E19" s="50"/>
      <x:c r="F19" s="50"/>
      <x:c r="G19" s="50"/>
      <x:c r="H19" s="50"/>
      <x:c r="I19" s="50"/>
      <x:c r="J19" s="50"/>
      <x:c r="K19" s="50"/>
      <x:c r="L19" s="50"/>
    </x:row>
    <x:row r="21" ht="24" customHeight="1">
      <x:c r="G21" s="111" t="str">
        <x:v>NASA SCaN C&amp;PNT AND OBSERVABILITY DEMAND SIGNAL</x:v>
      </x:c>
      <x:c r="H21" s="111"/>
      <x:c r="I21" s="111"/>
      <x:c r="J21" s="111"/>
      <x:c r="K21" s="111"/>
      <x:c r="L21" s="111"/>
    </x:row>
    <x:row r="22" ht="30" customHeight="1">
      <x:c r="G22" s="112" t="str">
        <x:v>Deficit Tier</x:v>
      </x:c>
      <x:c r="H22" s="112" t="str">
        <x:v>Protected Function</x:v>
      </x:c>
      <x:c r="I22" s="112" t="str">
        <x:v>Treatment</x:v>
      </x:c>
      <x:c r="J22" s="112" t="str">
        <x:v>Nominal kW</x:v>
      </x:c>
      <x:c r="K22" s="112" t="str">
        <x:v>Handover kW</x:v>
      </x:c>
      <x:c r="L22" s="112" t="str">
        <x:v>Evidence Status</x:v>
      </x:c>
    </x:row>
    <x:row r="23" ht="30" customHeight="1">
      <x:c r="G23" s="113" t="str">
        <x:v>Tier 0</x:v>
      </x:c>
      <x:c r="H23" s="113" t="str">
        <x:v>Command / LTC / PNT core</x:v>
      </x:c>
      <x:c r="I23" s="113" t="str">
        <x:v>Never shed</x:v>
      </x:c>
      <x:c r="J23" s="113" t="n">
        <x:v>0.45</x:v>
      </x:c>
      <x:c r="K23" s="113" t="n">
        <x:v>0.5</x:v>
      </x:c>
      <x:c r="L23" s="113" t="str">
        <x:v>Engineering allocation</x:v>
      </x:c>
    </x:row>
    <x:row r="24" ht="30" customHeight="1">
      <x:c r="G24" s="114" t="str">
        <x:v>Tier 0/1</x:v>
      </x:c>
      <x:c r="H24" s="114" t="str">
        <x:v>Safety node / low-rate link</x:v>
      </x:c>
      <x:c r="I24" s="114" t="str">
        <x:v>Protect / degrade</x:v>
      </x:c>
      <x:c r="J24" s="114" t="n">
        <x:v>0.55</x:v>
      </x:c>
      <x:c r="K24" s="114" t="n">
        <x:v>0.65</x:v>
      </x:c>
      <x:c r="L24" s="114" t="str">
        <x:v>Engineering allocation</x:v>
      </x:c>
    </x:row>
    <x:row r="25" ht="30" customHeight="1">
      <x:c r="G25" s="115" t="str">
        <x:v>Tier 2/3</x:v>
      </x:c>
      <x:c r="H25" s="115" t="str">
        <x:v>High-rate comms / observability</x:v>
      </x:c>
      <x:c r="I25" s="115" t="str">
        <x:v>Scale / queue / shed</x:v>
      </x:c>
      <x:c r="J25" s="115" t="n">
        <x:v>0.5</x:v>
      </x:c>
      <x:c r="K25" s="115" t="n">
        <x:v>0.65</x:v>
      </x:c>
      <x:c r="L25" s="115" t="str">
        <x:v>Engineering allocation</x:v>
      </x:c>
    </x:row>
    <x:row r="26">
      <x:c r="G26" s="111"/>
      <x:c r="H26" s="111"/>
      <x:c r="I26" s="111"/>
      <x:c r="J26" s="111"/>
      <x:c r="K26" s="111"/>
      <x:c r="L26" s="111"/>
    </x:row>
    <x:row r="27" ht="32" customHeight="1">
      <x:c r="G27" s="116" t="str">
        <x:v>NASA publishes service demand, not terminal electrical demand. The 1.50/1.80 kW totals remain placeholders until hardware tests replace them.</x:v>
      </x:c>
      <x:c r="H27" s="116"/>
      <x:c r="I27" s="116"/>
      <x:c r="J27" s="116"/>
      <x:c r="K27" s="116"/>
      <x:c r="L27" s="116"/>
    </x:row>
    <x:row r="28">
      <x:c r="G28" s="111"/>
      <x:c r="H28" s="111"/>
      <x:c r="I28" s="111"/>
      <x:c r="J28" s="111"/>
      <x:c r="K28" s="111"/>
      <x:c r="L28" s="111"/>
    </x:row>
    <x:row r="29" ht="26" customHeight="1">
      <x:c r="G29" s="112" t="str">
        <x:v>Phase</x:v>
      </x:c>
      <x:c r="H29" s="112" t="str">
        <x:v>Period</x:v>
      </x:c>
      <x:c r="I29" s="112" t="str">
        <x:v>Sites</x:v>
      </x:c>
      <x:c r="J29" s="112" t="str">
        <x:v>Assets / Site</x:v>
      </x:c>
      <x:c r="K29" s="112" t="str">
        <x:v>Relay Availability</x:v>
      </x:c>
      <x:c r="L29" s="112" t="str">
        <x:v>PNT Availability</x:v>
      </x:c>
    </x:row>
    <x:row r="30" ht="26" customHeight="1">
      <x:c r="G30" s="117" t="str">
        <x:v>1</x:v>
      </x:c>
      <x:c r="H30" s="117" t="str">
        <x:v>Now-2028</x:v>
      </x:c>
      <x:c r="I30" s="117" t="str">
        <x:v>1</x:v>
      </x:c>
      <x:c r="J30" s="117" t="str">
        <x:v>Up to 3</x:v>
      </x:c>
      <x:c r="K30" s="117" t="str">
        <x:v>50%</x:v>
      </x:c>
      <x:c r="L30" s="117" t="str">
        <x:v>Limited / demo</x:v>
      </x:c>
    </x:row>
    <x:row r="31" ht="26" customHeight="1">
      <x:c r="G31" s="117" t="str">
        <x:v>2</x:v>
      </x:c>
      <x:c r="H31" s="117" t="str">
        <x:v>2029-2032</x:v>
      </x:c>
      <x:c r="I31" s="117" t="str">
        <x:v>3</x:v>
      </x:c>
      <x:c r="J31" s="117" t="str">
        <x:v>3-5</x:v>
      </x:c>
      <x:c r="K31" s="117" t="str">
        <x:v>&gt;90%</x:v>
      </x:c>
      <x:c r="L31" s="117" t="str">
        <x:v>80%</x:v>
      </x:c>
    </x:row>
    <x:row r="32" ht="26" customHeight="1">
      <x:c r="G32" s="117" t="str">
        <x:v>3</x:v>
      </x:c>
      <x:c r="H32" s="117" t="str">
        <x:v>2033+</x:v>
      </x:c>
      <x:c r="I32" s="117" t="str">
        <x:v>3-5+</x:v>
      </x:c>
      <x:c r="J32" s="117" t="str">
        <x:v>5+</x:v>
      </x:c>
      <x:c r="K32" s="117" t="str">
        <x:v>99%</x:v>
      </x:c>
      <x:c r="L32" s="117" t="str">
        <x:v>99%</x:v>
      </x:c>
    </x:row>
    <x:row r="38">
      <x:c r="G38" s="63" t="str">
        <x:v>TOP DEVELOPMENT GAPS</x:v>
      </x:c>
      <x:c r="H38" s="63"/>
      <x:c r="I38" s="63"/>
      <x:c r="J38" s="63"/>
      <x:c r="K38" s="63"/>
      <x:c r="L38" s="63"/>
    </x:row>
    <x:row r="39">
      <x:c r="G39" s="24" t="str">
        <x:v>1</x:v>
      </x:c>
      <x:c r="H39" s="24" t="str">
        <x:v>Autonomous EMS</x:v>
      </x:c>
      <x:c r="I39" s="24" t="str">
        <x:v>TRL 3</x:v>
      </x:c>
      <x:c r="J39" s="24" t="str">
        <x:v>Very High</x:v>
      </x:c>
      <x:c r="K39" s="24" t="str">
        <x:v>Uncrewed grid operation</x:v>
      </x:c>
      <x:c r="L39" s="24" t="str">
        <x:v>Before Node 02</x:v>
      </x:c>
    </x:row>
    <x:row r="40">
      <x:c r="G40" s="24" t="str">
        <x:v>2</x:v>
      </x:c>
      <x:c r="H40" s="24" t="str">
        <x:v>Dust-tolerant automated umbilical</x:v>
      </x:c>
      <x:c r="I40" s="24" t="str">
        <x:v>TRL 4</x:v>
      </x:c>
      <x:c r="J40" s="24" t="str">
        <x:v>Very High</x:v>
      </x:c>
      <x:c r="K40" s="24" t="str">
        <x:v>Power/data/fluid service</x:v>
      </x:c>
      <x:c r="L40" s="24" t="str">
        <x:v>Before sustained habitat</x:v>
      </x:c>
    </x:row>
    <x:row r="41">
      <x:c r="G41" s="24" t="str">
        <x:v>3</x:v>
      </x:c>
      <x:c r="H41" s="24" t="str">
        <x:v>Modular PMAD electronics</x:v>
      </x:c>
      <x:c r="I41" s="24" t="str">
        <x:v>TRL 4</x:v>
      </x:c>
      <x:c r="J41" s="24" t="str">
        <x:v>Very High</x:v>
      </x:c>
      <x:c r="K41" s="24" t="str">
        <x:v>Common spares + converters</x:v>
      </x:c>
      <x:c r="L41" s="24" t="str">
        <x:v>Early</x:v>
      </x:c>
    </x:row>
    <x:row r="42">
      <x:c r="G42" s="24" t="str">
        <x:v>4</x:v>
      </x:c>
      <x:c r="H42" s="24" t="str">
        <x:v>HV feeder + field repair</x:v>
      </x:c>
      <x:c r="I42" s="24" t="str">
        <x:v>TRL 5–6</x:v>
      </x:c>
      <x:c r="J42" s="24" t="str">
        <x:v>Very High</x:v>
      </x:c>
      <x:c r="K42" s="24" t="str">
        <x:v>km-class modular growth</x:v>
      </x:c>
      <x:c r="L42" s="24" t="str">
        <x:v>Before dispersed base</x:v>
      </x:c>
    </x:row>
    <x:row r="43">
      <x:c r="G43" s="24" t="str">
        <x:v>5</x:v>
      </x:c>
      <x:c r="H43" s="24" t="str">
        <x:v>Long-duration storage</x:v>
      </x:c>
      <x:c r="I43" s="24" t="str">
        <x:v>TRL ~4 class tech</x:v>
      </x:c>
      <x:c r="J43" s="24" t="str">
        <x:v>Very High</x:v>
      </x:c>
      <x:c r="K43" s="24" t="str">
        <x:v>Ride-through / uncrewed survival</x:v>
      </x:c>
      <x:c r="L43" s="24" t="str">
        <x:v>First node</x:v>
      </x:c>
    </x:row>
    <x:row r="44">
      <x:c r="G44" s="24" t="str">
        <x:v>6</x:v>
      </x:c>
      <x:c r="H44" s="24" t="str">
        <x:v>Safe concentrator control</x:v>
      </x:c>
      <x:c r="I44" s="24" t="str">
        <x:v>Architecture gap</x:v>
      </x:c>
      <x:c r="J44" s="24" t="str">
        <x:v>High</x:v>
      </x:c>
      <x:c r="K44" s="24" t="str">
        <x:v>Plant/thermal optical delivery</x:v>
      </x:c>
      <x:c r="L44" s="24" t="str">
        <x:v>Before optical dependence</x:v>
      </x:c>
    </x:row>
    <x:row r="46">
      <x:c r="A46" s="78" t="str">
        <x:v>POWER CONVERSION LAYER</x:v>
      </x:c>
      <x:c r="B46" s="78"/>
      <x:c r="C46" s="78"/>
      <x:c r="D46" s="78"/>
      <x:c r="E46" s="78"/>
      <x:c r="F46" s="78"/>
    </x:row>
    <x:row r="47">
      <x:c r="A47" s="41" t="str">
        <x:v>Architecture</x:v>
      </x:c>
      <x:c r="B47" s="24" t="str">
        <x:v>HV trunk → isolated DC/DC → 120 VDC local → 48/28 VDC secondary</x:v>
      </x:c>
      <x:c r="C47" s="24" t="str"/>
      <x:c r="D47" s="24" t="str"/>
      <x:c r="E47" s="24" t="str"/>
      <x:c r="F47" s="24" t="str"/>
    </x:row>
    <x:row r="48">
      <x:c r="A48" s="41" t="str">
        <x:v>Standard module</x:v>
      </x:c>
      <x:c r="B48" s="24" t="str">
        <x:v>5 kW converter brick</x:v>
      </x:c>
      <x:c r="C48" s="24" t="str">
        <x:v>Parallel for larger nodes</x:v>
      </x:c>
      <x:c r="D48" s="24" t="str">
        <x:v>Common spare philosophy</x:v>
      </x:c>
      <x:c r="E48" s="24" t="str"/>
      <x:c r="F48" s="24" t="str"/>
    </x:row>
    <x:row r="49">
      <x:c r="A49" s="41" t="str">
        <x:v>Nominal efficiency</x:v>
      </x:c>
      <x:c r="B49" s="24" t="str">
        <x:v>95%</x:v>
      </x:c>
      <x:c r="C49" s="24" t="str">
        <x:v>Editable engineering assumption</x:v>
      </x:c>
      <x:c r="D49" s="24" t="str">
        <x:v>Thermal consequence</x:v>
      </x:c>
      <x:c r="E49" s="24" t="str"/>
      <x:c r="F49" s="24" t="str"/>
    </x:row>
    <x:row r="50">
      <x:c r="A50" s="41" t="str">
        <x:v>20 kW delivered</x:v>
      </x:c>
      <x:c r="B50" s="24" t="str">
        <x:v>~1.05 kW converter waste heat</x:v>
      </x:c>
      <x:c r="C50" s="24" t="str">
        <x:v>Local radiator / thermal path required</x:v>
      </x:c>
      <x:c r="D50" s="24" t="str"/>
      <x:c r="E50" s="24" t="str"/>
      <x:c r="F50" s="24" t="str"/>
    </x:row>
    <x:row r="51">
      <x:c r="A51" s="41" t="str">
        <x:v>Crew-critical rule</x:v>
      </x:c>
      <x:c r="B51" s="24" t="str">
        <x:v>N+1 converter capacity</x:v>
      </x:c>
      <x:c r="C51" s="24" t="str">
        <x:v>Bypass + isolation path</x:v>
      </x:c>
      <x:c r="D51" s="24" t="str">
        <x:v>No single converter failure</x:v>
      </x:c>
      <x:c r="E51" s="24" t="str"/>
      <x:c r="F51" s="24" t="str"/>
    </x:row>
    <x:row r="52">
      <x:c r="A52" s="41" t="str">
        <x:v>Key metrics</x:v>
      </x:c>
      <x:c r="B52" s="24" t="str">
        <x:v>kg/kW</x:v>
      </x:c>
      <x:c r="C52" s="24" t="str">
        <x:v>Efficiency vs load</x:v>
      </x:c>
      <x:c r="D52" s="24" t="str">
        <x:v>Waste heat/node</x:v>
      </x:c>
      <x:c r="E52" s="24" t="str">
        <x:v>Spare commonality</x:v>
      </x:c>
      <x:c r="F52" s="24" t="str">
        <x:v>Radiation/fault tolerance</x:v>
      </x:c>
    </x:row>
    <x:row r="54">
      <x:c r="A54" s="87" t="str">
        <x:v>SURVIVAL / RESCUE BASELINE</x:v>
      </x:c>
      <x:c r="B54" s="87"/>
      <x:c r="C54" s="87"/>
      <x:c r="D54" s="87"/>
      <x:c r="E54" s="87"/>
      <x:c r="F54" s="87"/>
    </x:row>
    <x:row r="55">
      <x:c r="A55" s="87" t="str">
        <x:v>Metric</x:v>
      </x:c>
      <x:c r="B55" s="87" t="str">
        <x:v>6 Crew Baseline</x:v>
      </x:c>
      <x:c r="C55" s="87" t="str">
        <x:v>12 Crew Handover</x:v>
      </x:c>
      <x:c r="D55" s="87" t="str">
        <x:v>Design Rule</x:v>
      </x:c>
      <x:c r="E55" s="87" t="str">
        <x:v>Source</x:v>
      </x:c>
      <x:c r="F55" s="87" t="str">
        <x:v>Status</x:v>
      </x:c>
    </x:row>
    <x:row r="56">
      <x:c r="A56" s="24" t="str">
        <x:v>Emergency refuge load</x:v>
      </x:c>
      <x:c r="B56" s="145" t="n">
        <x:f>Assumptions!B30</x:f>
        <x:v>5.25</x:v>
      </x:c>
      <x:c r="C56" s="145" t="n">
        <x:f>Assumptions!B31</x:f>
        <x:v>6.75</x:v>
      </x:c>
      <x:c r="D56" s="24" t="str">
        <x:v>Reduced protected volume</x:v>
      </x:c>
      <x:c r="E56" s="24" t="str">
        <x:v>LOGIC model</x:v>
      </x:c>
      <x:c r="F56" s="24" t="str">
        <x:v>Engineering assumption</x:v>
      </x:c>
    </x:row>
    <x:row r="57">
      <x:c r="A57" s="24" t="str">
        <x:v>Battery-only refuge bridge</x:v>
      </x:c>
      <x:c r="B57" s="146" t="n">
        <x:f>Assumptions!B28</x:f>
        <x:v>24</x:v>
      </x:c>
      <x:c r="C57" s="146" t="n">
        <x:f>Assumptions!B28</x:f>
        <x:v>24</x:v>
      </x:c>
      <x:c r="D57" s="24" t="str">
        <x:v>Zero external generation</x:v>
      </x:c>
      <x:c r="E57" s="24" t="str">
        <x:v>LOGIC requirement</x:v>
      </x:c>
      <x:c r="F57" s="24" t="str">
        <x:v>Baseline</x:v>
      </x:c>
    </x:row>
    <x:row r="58">
      <x:c r="A58" s="24" t="str">
        <x:v>Installed battery target</x:v>
      </x:c>
      <x:c r="B58" s="147" t="n">
        <x:f>Storage!F4</x:f>
        <x:v>157.5</x:v>
      </x:c>
      <x:c r="C58" s="147" t="n">
        <x:f>Storage!F5</x:f>
        <x:v>202.5</x:v>
      </x:c>
      <x:c r="D58" s="24" t="str">
        <x:v>80% usable fraction</x:v>
      </x:c>
      <x:c r="E58" s="24" t="str">
        <x:v>Storage sizing</x:v>
      </x:c>
      <x:c r="F58" s="24" t="str">
        <x:v>Baseline</x:v>
      </x:c>
    </x:row>
    <x:row r="59">
      <x:c r="A59" s="24" t="str">
        <x:v>Safe-haven target</x:v>
      </x:c>
      <x:c r="B59" s="146" t="n">
        <x:f>Assumptions!B29</x:f>
        <x:v>168</x:v>
      </x:c>
      <x:c r="C59" s="146" t="n">
        <x:f>Assumptions!B29</x:f>
        <x:v>168</x:v>
      </x:c>
      <x:c r="D59" s="24" t="str">
        <x:v>Battery + surviving generation</x:v>
      </x:c>
      <x:c r="E59" s="24" t="str">
        <x:v>LOGIC requirement</x:v>
      </x:c>
      <x:c r="F59" s="24" t="str">
        <x:v>Minimum</x:v>
      </x:c>
    </x:row>
    <x:row r="60">
      <x:c r="A60" s="24" t="str">
        <x:v>Surviving generation needed</x:v>
      </x:c>
      <x:c r="B60" s="145" t="n">
        <x:f>'Rescue Endurance'!H4</x:f>
        <x:v>4.5</x:v>
      </x:c>
      <x:c r="C60" s="145" t="n">
        <x:f>'Rescue Endurance'!H5</x:f>
        <x:v>5.785714285714286</x:v>
      </x:c>
      <x:c r="D60" s="24" t="str">
        <x:v>For 7-day refuge with baseline battery</x:v>
      </x:c>
      <x:c r="E60" s="24" t="str">
        <x:v>Rescue Endurance</x:v>
      </x:c>
      <x:c r="F60" s="24" t="str">
        <x:v>Architecture requirement</x:v>
      </x:c>
    </x:row>
  </x:sheetData>
  <x:mergeCells>
    <x:mergeCell ref="A1:L1"/>
    <x:mergeCell ref="F3:L3"/>
    <x:mergeCell ref="B19:L19"/>
    <x:mergeCell ref="F12:L12"/>
    <x:mergeCell ref="G38:L38"/>
    <x:mergeCell ref="A46:F46"/>
    <x:mergeCell ref="A54:F54"/>
    <x:mergeCell ref="G21:L21"/>
    <x:mergeCell ref="G27:L27"/>
  </x:mergeCells>
  <x:pageMargins left="0.7" right="0.7" top="0.75" bottom="0.75" header="0.3" footer="0.3"/>
  <x:drawing xmlns:r="http://schemas.openxmlformats.org/officeDocument/2006/relationships" r:id="R96a2733c4c1a48c4"/>
</x:worksheet>
</file>

<file path=xl/worksheets/sheet9.xml><?xml version="1.0" encoding="utf-8"?>
<x:worksheet xmlns:x="http://schemas.openxmlformats.org/spreadsheetml/2006/main">
  <x:sheetFormatPr defaultRowHeight="15"/>
  <x:cols>
    <x:col min="1" max="1" width="28" hidden="0" customWidth="1"/>
    <x:col min="2" max="2" width="54" hidden="0" customWidth="1"/>
    <x:col min="3" max="3" width="70" hidden="0" customWidth="1"/>
    <x:col min="4" max="4" width="36" hidden="0" customWidth="1"/>
  </x:cols>
  <x:sheetData>
    <x:row r="1" ht="28" customHeight="1">
      <x:c r="A1" s="5" t="str">
        <x:v>Sources and Model Provenance</x:v>
      </x:c>
    </x:row>
    <x:row r="3">
      <x:c r="A3" s="14" t="str">
        <x:v>Topic</x:v>
      </x:c>
      <x:c r="B3" s="14" t="str">
        <x:v>Source / Claim</x:v>
      </x:c>
      <x:c r="C3" s="14" t="str">
        <x:v>URL</x:v>
      </x:c>
      <x:c r="D3" s="14" t="str">
        <x:v>How Used</x:v>
      </x:c>
    </x:row>
    <x:row r="4">
      <x:c r="A4" s="24" t="str">
        <x:v>NASA Moon Base phases</x:v>
      </x:c>
      <x:c r="B4" s="24" t="str">
        <x:v>Phase 1 now–2029; Phase 2 2029–2032; Phase 3 2032+</x:v>
      </x:c>
      <x:c r="C4" s="24" t="str">
        <x:v>https://www.nasa.gov/moonbase-phases/</x:v>
      </x:c>
      <x:c r="D4" s="24" t="str">
        <x:v>Timeline</x:v>
      </x:c>
    </x:row>
    <x:row r="5">
      <x:c r="A5" s="24" t="str">
        <x:v>NASA Moon Base systems</x:v>
      </x:c>
      <x:c r="B5" s="24" t="str">
        <x:v>Phase 2 early habitation; Phase 3 100 m³-class habitation and operational fission power</x:v>
      </x:c>
      <x:c r="C5" s="24" t="str">
        <x:v>https://www.nasa.gov/moonbase-systems/</x:v>
      </x:c>
      <x:c r="D5" s="24" t="str">
        <x:v>Facilities / phase assumptions</x:v>
      </x:c>
    </x:row>
    <x:row r="6">
      <x:c r="A6" s="24" t="str">
        <x:v>NASA/DOE fission</x:v>
      </x:c>
      <x:c r="B6" s="24" t="str">
        <x:v>Lunar surface reactor target by 2030; 40 kW-class development basis</x:v>
      </x:c>
      <x:c r="C6" s="24" t="str">
        <x:v>https://www.nasa.gov/news-release/nasa-department-of-energy-to-develop-lunar-surface-reactor-by-2030/</x:v>
      </x:c>
      <x:c r="D6" s="24" t="str">
        <x:v>2030 firm-generation scenario</x:v>
      </x:c>
    </x:row>
    <x:row r="7">
      <x:c r="A7" s="24" t="str">
        <x:v>NASA Fission Surface Power</x:v>
      </x:c>
      <x:c r="B7" s="24" t="str">
        <x:v>At least 40 kW class, continuous power independent of sunlight</x:v>
      </x:c>
      <x:c r="C7" s="24" t="str">
        <x:v>https://www.nasa.gov/exploration-systems-development-mission-directorate/fission-surface-power/</x:v>
      </x:c>
      <x:c r="D7" s="24" t="str">
        <x:v>Fission capacity</x:v>
      </x:c>
    </x:row>
    <x:row r="8">
      <x:c r="A8" s="24" t="str">
        <x:v>NASA Power / interface</x:v>
      </x:c>
      <x:c r="B8" s="24" t="str">
        <x:v>Bidirectional 6 kW, 120 V, 50 A surface power exchange interface</x:v>
      </x:c>
      <x:c r="C8" s="24" t="str">
        <x:v>https://www.nasa.gov/power/</x:v>
      </x:c>
      <x:c r="D8" s="24" t="str">
        <x:v>Local bus/interoperability context</x:v>
      </x:c>
    </x:row>
    <x:row r="9">
      <x:c r="A9" s="24" t="str">
        <x:v>NASA NTRS lunar power</x:v>
      </x:c>
      <x:c r="B9" s="24" t="str">
        <x:v>120 VDC power exchange; &lt;100 m cited limitation; ~100 W to 10 kW+ per element</x:v>
      </x:c>
      <x:c r="C9" s="24" t="str">
        <x:v>https://ntrs.nasa.gov/citations/20240013588</x:v>
      </x:c>
      <x:c r="D9" s="24" t="str">
        <x:v>Distribution architecture</x:v>
      </x:c>
    </x:row>
    <x:row r="10">
      <x:c r="A10" s="24" t="str">
        <x:v>NASA VSAT TechPort</x:v>
      </x:c>
      <x:c r="B10" s="24" t="str">
        <x:v>10 kW VSAT study; vertical arrays up to 20 m</x:v>
      </x:c>
      <x:c r="C10" s="24" t="str">
        <x:v>https://techport.nasa.gov/projects/116305</x:v>
      </x:c>
      <x:c r="D10" s="24" t="str">
        <x:v>Early solar source</x:v>
      </x:c>
    </x:row>
    <x:row r="11">
      <x:c r="A11" s="24" t="str">
        <x:v>NASA 50 kW solar</x:v>
      </x:c>
      <x:c r="B11" s="24" t="str">
        <x:v>50 kW-class retractable rollable lunar solar array technology</x:v>
      </x:c>
      <x:c r="C11" s="24" t="str">
        <x:v>https://techport.nasa.gov/projects/125385</x:v>
      </x:c>
      <x:c r="D11" s="24" t="str">
        <x:v>2032+ expansion source</x:v>
      </x:c>
    </x:row>
    <x:row r="12">
      <x:c r="A12" s="24" t="str">
        <x:v>LunaGrid-Lite</x:v>
      </x:c>
      <x:c r="B12" s="24" t="str">
        <x:v>High-voltage cable and converter demo, 100–500 m, 1 kW</x:v>
      </x:c>
      <x:c r="C12" s="24" t="str">
        <x:v>https://techport.nasa.gov/projects/147018</x:v>
      </x:c>
      <x:c r="D12" s="24" t="str">
        <x:v>Long feeder architecture</x:v>
      </x:c>
    </x:row>
    <x:row r="13">
      <x:c r="A13" s="24" t="str">
        <x:v>TYMPO</x:v>
      </x:c>
      <x:c r="B13" s="24" t="str">
        <x:v>&gt;90% efficient 100 W–10 kW tether power across meters to kilometers</x:v>
      </x:c>
      <x:c r="C13" s="24" t="str">
        <x:v>https://techport.nasa.gov/projects/116287</x:v>
      </x:c>
      <x:c r="D13" s="24" t="str">
        <x:v>Remote feeder concept</x:v>
      </x:c>
    </x:row>
    <x:row r="14">
      <x:c r="A14" s="24" t="str">
        <x:v>LOGIC Power Report</x:v>
      </x:c>
      <x:c r="B14" s="24" t="str">
        <x:v>Interoperability, telemetry, overstress protection, power provider/user concepts</x:v>
      </x:c>
      <x:c r="C14" s="24" t="str">
        <x:v>User File Library: LOGIC-Power-Report-Styling.pdf</x:v>
      </x:c>
      <x:c r="D14" s="24" t="str">
        <x:v>Panel telemetry / architecture logic</x:v>
      </x:c>
    </x:row>
    <x:row r="15">
      <x:c r="A15" s="24" t="str">
        <x:v>Plant cultivation reference</x:v>
      </x:c>
      <x:c r="B15" s="24" t="str">
        <x:v>Crew of 6 full sustenance estimate ~650 m² growing surface (citing Zeidler et al. 2017)</x:v>
      </x:c>
      <x:c r="C15" s="24" t="str">
        <x:v>User File Library: Hasenstein_et_al-2026-Microgravity_Science_and_Technology.pdf</x:v>
      </x:c>
      <x:c r="D15" s="24" t="str">
        <x:v>Plant scale reference</x:v>
      </x:c>
    </x:row>
    <x:row r="16">
      <x:c r="A16" s="24" t="str">
        <x:v>NASA large cargo landers</x:v>
      </x:c>
      <x:c r="B16" s="24" t="str">
        <x:v>Cargo versions of HLS expected to deliver 12–15 t; no earlier than Artemis VII</x:v>
      </x:c>
      <x:c r="C16" s="24" t="str">
        <x:v>https://www.nasa.gov/humans-in-space/work-underway-on-large-cargo-landers-for-nasas-artemis-moon-missions/</x:v>
      </x:c>
      <x:c r="D16" s="24" t="str">
        <x:v>Mission payload constraint</x:v>
      </x:c>
    </x:row>
    <x:row r="17">
      <x:c r="A17" s="24" t="str">
        <x:v>NASA HLS update</x:v>
      </x:c>
      <x:c r="B17" s="24" t="str">
        <x:v>Large cargo landers 12–15 t; pressurized rover no earlier than 2032; habitat no earlier than 2033</x:v>
      </x:c>
      <x:c r="C17" s="24" t="str">
        <x:v>https://ntrs.nasa.gov/citations/20250008727</x:v>
      </x:c>
      <x:c r="D17" s="24" t="str">
        <x:v>Buildout anchors</x:v>
      </x:c>
    </x:row>
    <x:row r="18">
      <x:c r="A18" s="24" t="str">
        <x:v>NASA Lunar Surface Cargo</x:v>
      </x:c>
      <x:c r="B18" s="24" t="str">
        <x:v>Recurring logistics 2,500–10,000 kg/year; occasional large elements up to 15,000 kg</x:v>
      </x:c>
      <x:c r="C18" s="24" t="str">
        <x:v>https://www.nasa.gov/wp-content/uploads/2024/06/acr24-lunar-surface-cargo.pdf</x:v>
      </x:c>
      <x:c r="D18" s="24" t="str">
        <x:v>Supply forecast</x:v>
      </x:c>
    </x:row>
    <x:row r="19">
      <x:c r="A19" s="24" t="str">
        <x:v>NASA Space Logistics Power Catalog</x:v>
      </x:c>
      <x:c r="B19" s="24" t="str">
        <x:v>AEMS TRL 3; modular power TRL 4; DTAU TRL 4; wireless charging TRL 5; HV cable TRL 6; RFC TRL 4</x:v>
      </x:c>
      <x:c r="C19" s="24" t="str">
        <x:v>https://www.nasa.gov/power/</x:v>
      </x:c>
      <x:c r="D19" s="24" t="str">
        <x:v>Technology gap/TRL baseline</x:v>
      </x:c>
    </x:row>
    <x:row r="20">
      <x:c r="A20" s="24" t="str">
        <x:v>NASA LunaGrid-Lite</x:v>
      </x:c>
      <x:c r="B20" s="24" t="str">
        <x:v>100–500 m high-voltage cable demo; 1 kW transmission; regolith/plasma loss characterization</x:v>
      </x:c>
      <x:c r="C20" s="24" t="str">
        <x:v>https://techport.nasa.gov/projects/147018</x:v>
      </x:c>
      <x:c r="D20" s="24" t="str">
        <x:v>Cable deployment and lunar validation</x:v>
      </x:c>
    </x:row>
    <x:row r="21">
      <x:c r="A21" s="24" t="str">
        <x:v>NASA/DOE reactor 2030</x:v>
      </x:c>
      <x:c r="B21" s="24" t="str">
        <x:v>Renewed NASA/DOE commitment for lunar surface reactor by 2030</x:v>
      </x:c>
      <x:c r="C21" s="24" t="str">
        <x:v>https://www.nasa.gov/news-release/nasa-department-of-energy-to-develop-lunar-surface-reactor-by-2030/</x:v>
      </x:c>
      <x:c r="D21" s="24" t="str">
        <x:v>Timeline</x:v>
      </x:c>
    </x:row>
    <x:row r="22">
      <x:c r="A22" s="24" t="str">
        <x:v>NASA Fission Surface Power</x:v>
      </x:c>
      <x:c r="B22" s="24" t="str">
        <x:v>40 kW-class continuous lunar power reference</x:v>
      </x:c>
      <x:c r="C22" s="24" t="str">
        <x:v>https://www.nasa.gov/exploration-systems-development-mission-directorate/fission-surface-power/</x:v>
      </x:c>
      <x:c r="D22" s="24" t="str">
        <x:v>Firm source scale</x:v>
      </x:c>
    </x:row>
    <x:row r="23">
      <x:c r="A23" s="24" t="str">
        <x:v>Industry comparator / follow-up</x:v>
      </x:c>
      <x:c r="B23" s="24" t="str">
        <x:v>Cislunar Industries DC/DC converter mentioned by project lead as space-flown; verify model, rating, interface, mass, efficiency, radiation qualification, and flight heritage before using as a baseline.</x:v>
      </x:c>
      <x:c r="C23" s="24" t="str"/>
      <x:c r="D23" s="24" t="str">
        <x:v>Candidate hardware benchmark for conversion-layer trade</x:v>
      </x:c>
    </x:row>
    <x:row r="24">
      <x:c r="A24" s="20" t="str">
        <x:v>NASA lunar thermal environment</x:v>
      </x:c>
      <x:c r="B24" s="20" t="str">
        <x:v>Lunar night near -130 °C; permanently shadowed regions near -250 °C; insulation, heat rejection, and heat distribution are primary survival technologies</x:v>
      </x:c>
      <x:c r="C24" s="20" t="str">
        <x:v>https://www.nasa.gov/lunar-surface-technology/</x:v>
      </x:c>
      <x:c r="D24" s="20" t="str">
        <x:v>Thermal-survival baseline</x:v>
      </x:c>
    </x:row>
    <x:row r="25">
      <x:c r="A25" s="20" t="str">
        <x:v>NASA Cold Electronics for Lunar Missions</x:v>
      </x:c>
      <x:c r="B25" s="20" t="str">
        <x:v>COTS Li-ion cells demonstrated freeze/thaw survivability to 50 K, but current COTS operation is typically limited to far warmer temperatures</x:v>
      </x:c>
      <x:c r="C25" s="20" t="str">
        <x:v>https://ntrs.nasa.gov/citations/20250008583</x:v>
      </x:c>
      <x:c r="D25" s="20" t="str">
        <x:v>Battery operating-vs-survival distinction</x:v>
      </x:c>
    </x:row>
    <x:row r="26">
      <x:c r="A26" s="20" t="str">
        <x:v>NASA cryogenic lunar-night electronics</x:v>
      </x:c>
      <x:c r="B26" s="20" t="str">
        <x:v>Power-hibernation concept isolates frozen batteries and cold-starts electronics at lunar dawn</x:v>
      </x:c>
      <x:c r="C26" s="20" t="str">
        <x:v>https://ntrs.nasa.gov/citations/20240004406</x:v>
      </x:c>
      <x:c r="D26" s="20" t="str">
        <x:v>Hibernation as non-baseline contingency path</x:v>
      </x:c>
    </x:row>
    <x:row r="27">
      <x:c r="A27" s="20" t="str">
        <x:v>NASA lunar South Pole environment</x:v>
      </x:c>
      <x:c r="B27" s="20" t="str">
        <x:v>Sun remains near horizon; illumination and darkness depend strongly on topography and site</x:v>
      </x:c>
      <x:c r="C27" s="20" t="str">
        <x:v>https://www.nasa.gov/reference/moonbase-environment/</x:v>
      </x:c>
      <x:c r="D27" s="20" t="str">
        <x:v>Shadow-duration/site dependence</x:v>
      </x:c>
    </x:row>
    <x:row r="28">
      <x:c r="A28" s="24" t="str">
        <x:v>NASA Artemis II outbound transit</x:v>
      </x:c>
      <x:c r="B28" s="24" t="str">
        <x:v>NASA reference trajectory: approximately four days outbound transit to the Moon after translunar injection</x:v>
      </x:c>
      <x:c r="C28" s="24" t="str">
        <x:v>https://www.nasa.gov/wp-content/uploads/2016/05/esd_q1_2022_v6_kt.pdf</x:v>
      </x:c>
      <x:c r="D28" s="24" t="str">
        <x:v>Rescue-latency planning context</x:v>
      </x:c>
    </x:row>
    <x:row r="29">
      <x:c r="A29" s="24" t="str">
        <x:v>NASA Artemis II current mission agenda</x:v>
      </x:c>
      <x:c r="B29" s="24" t="str">
        <x:v>Closest lunar approach occurred on flight day 6; illustrates multi-day deep-space transit</x:v>
      </x:c>
      <x:c r="C29" s="24" t="str">
        <x:v>https://www.nasa.gov/missions/artemis/nasas-artemis-ii-moon-mission-daily-agenda/</x:v>
      </x:c>
      <x:c r="D29" s="24" t="str">
        <x:v>Rescue-latency context</x:v>
      </x:c>
    </x:row>
    <x:row r="30">
      <x:c r="A30" s="24" t="str">
        <x:v>NASA lunar rescue challenge</x:v>
      </x:c>
      <x:c r="B30" s="24" t="str">
        <x:v>NASA explicitly treats incapacitated-crew rescue at the lunar South Pole as a critical surface safety problem</x:v>
      </x:c>
      <x:c r="C30" s="24" t="str">
        <x:v>https://www.nasa.gov/get-involved/south-pole-safety-designing-the-nasa-lunar-rescue-system/</x:v>
      </x:c>
      <x:c r="D30" s="24" t="str">
        <x:v>Surface rescue CONOPS context</x:v>
      </x:c>
    </x:row>
    <x:row r="31">
      <x:c r="A31" s="24" t="str">
        <x:v>NASA architecture contingency guidance</x:v>
      </x:c>
      <x:c r="B31" s="24" t="str">
        <x:v>Crew survival methods include safe haven, abort, and contingency operations with or without Earth communication</x:v>
      </x:c>
      <x:c r="C31" s="24" t="str">
        <x:v>https://www.nasa.gov/wp-content/uploads/2024/12/esdmd-001-add-rev-b.pdf</x:v>
      </x:c>
      <x:c r="D31" s="24" t="str">
        <x:v>Safe-haven architecture context</x:v>
      </x:c>
    </x:row>
    <x:row r="32">
      <x:c r="A32" t="str">
        <x:v>NASA SCaN lunar C&amp;PNT and observability demand signal</x:v>
      </x:c>
      <x:c r="B32" t="str">
        <x:v>Phases 1-3; sites/assets; relay and PNT availability; throughput; surface aggregation; imaging and monitoring needs</x:v>
      </x:c>
      <x:c r="C32" t="str">
        <x:v>https://www.nasa.gov/wp-content/uploads/2026/08/scan-cislunar-industry-demand-signal.pdf</x:v>
      </x:c>
      <x:c r="D32" t="str">
        <x:v>C&amp;PNT phase requirements, load priorities, observability and power-characterization gaps</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6" hidden="0" customWidth="1"/>
    <x:col min="3" max="3" width="32" hidden="0" customWidth="1"/>
    <x:col min="4" max="4" width="30" hidden="0" customWidth="1"/>
    <x:col min="5" max="5" width="18" hidden="0" customWidth="1"/>
    <x:col min="6" max="6" width="18" hidden="0" customWidth="1"/>
    <x:col min="7" max="7" width="14" hidden="0" customWidth="1"/>
    <x:col min="8" max="8" width="18" hidden="0" customWidth="1"/>
    <x:col min="9" max="9" width="16" hidden="0" customWidth="1"/>
    <x:col min="10" max="10" width="18" hidden="0" customWidth="1"/>
    <x:col min="11" max="11" width="34" hidden="0" customWidth="1"/>
    <x:col min="12" max="12" width="18" hidden="0" customWidth="1"/>
    <x:col min="13" max="13" width="20" hidden="0" customWidth="1"/>
    <x:col min="14" max="14" width="44" hidden="0" customWidth="1"/>
  </x:cols>
  <x:sheetData>
    <x:row r="1" ht="28" customHeight="1">
      <x:c r="A1" s="58" t="str">
        <x:v>Mission Buildout — Cargo-Limited Lunar Microgrid Growth</x:v>
      </x:c>
    </x:row>
    <x:row r="3">
      <x:c r="A3" s="63" t="str">
        <x:v>Step</x:v>
      </x:c>
      <x:c r="B3" s="63" t="str">
        <x:v>Earliest Window</x:v>
      </x:c>
      <x:c r="C3" s="63" t="str">
        <x:v>NASA / Program Anchor</x:v>
      </x:c>
      <x:c r="D3" s="63" t="str">
        <x:v>Primary Delivery</x:v>
      </x:c>
      <x:c r="E3" s="63" t="str">
        <x:v>Nominal Payload Limit kg</x:v>
      </x:c>
      <x:c r="F3" s="63" t="str">
        <x:v>Power HW Allocation kg</x:v>
      </x:c>
      <x:c r="G3" s="63" t="str">
        <x:v>Battery kWh</x:v>
      </x:c>
      <x:c r="H3" s="63" t="str">
        <x:v>New Generation kW</x:v>
      </x:c>
      <x:c r="I3" s="63" t="str">
        <x:v>New Utility Nodes</x:v>
      </x:c>
      <x:c r="J3" s="63" t="str">
        <x:v>Cable / Umbilical m</x:v>
      </x:c>
      <x:c r="K3" s="63" t="str">
        <x:v>Primary Work</x:v>
      </x:c>
      <x:c r="L3" s="63" t="str">
        <x:v>Crew Dependence</x:v>
      </x:c>
      <x:c r="M3" s="63" t="str">
        <x:v>Status</x:v>
      </x:c>
      <x:c r="N3" s="63" t="str">
        <x:v>Source / Basis</x:v>
      </x:c>
    </x:row>
    <x:row r="4">
      <x:c r="A4" s="24" t="n">
        <x:v>1</x:v>
      </x:c>
      <x:c r="B4" s="24" t="str">
        <x:v>2026–2028</x:v>
      </x:c>
      <x:c r="C4" s="24" t="str">
        <x:v>Foundational robotic demonstrations / Moon Base infrastructure</x:v>
      </x:c>
      <x:c r="D4" s="24" t="str">
        <x:v>Autonomous Power Node 01</x:v>
      </x:c>
      <x:c r="E4" s="64" t="n">
        <x:v>500</x:v>
      </x:c>
      <x:c r="F4" s="64" t="n">
        <x:v>350</x:v>
      </x:c>
      <x:c r="G4" s="64" t="n">
        <x:v>100</x:v>
      </x:c>
      <x:c r="H4" s="64" t="n">
        <x:v>2</x:v>
      </x:c>
      <x:c r="I4" s="64" t="n">
        <x:v>1</x:v>
      </x:c>
      <x:c r="J4" s="64" t="n">
        <x:v>250</x:v>
      </x:c>
      <x:c r="K4" s="64" t="str">
        <x:v>Land battery, PMAD, comms, local solar, sensors; validate cable/regolith/thermal behavior</x:v>
      </x:c>
      <x:c r="L4" s="24" t="str">
        <x:v>Uncrewed</x:v>
      </x:c>
      <x:c r="M4" s="24" t="str">
        <x:v>Concept / early demo</x:v>
      </x:c>
      <x:c r="N4" s="24" t="str">
        <x:v>NASA Moon Base tech demos; payload amount is engineering scenario</x:v>
      </x:c>
    </x:row>
    <x:row r="5">
      <x:c r="A5" s="24" t="n">
        <x:v>2</x:v>
      </x:c>
      <x:c r="B5" s="24" t="str">
        <x:v>2028–2030</x:v>
      </x:c>
      <x:c r="C5" s="24" t="str">
        <x:v>Pre-crew infrastructure maturation</x:v>
      </x:c>
      <x:c r="D5" s="24" t="str">
        <x:v>Utility Node 02 + service charger</x:v>
      </x:c>
      <x:c r="E5" s="64" t="n">
        <x:v>1000</x:v>
      </x:c>
      <x:c r="F5" s="64" t="n">
        <x:v>700</x:v>
      </x:c>
      <x:c r="G5" s="64" t="n">
        <x:v>100</x:v>
      </x:c>
      <x:c r="H5" s="64" t="n">
        <x:v>5</x:v>
      </x:c>
      <x:c r="I5" s="64" t="n">
        <x:v>1</x:v>
      </x:c>
      <x:c r="J5" s="64" t="n">
        <x:v>500</x:v>
      </x:c>
      <x:c r="K5" s="64" t="str">
        <x:v>Deploy second node, drive-up wired charger, dust-tolerant connectors, redundant feeder path</x:v>
      </x:c>
      <x:c r="L5" s="24" t="str">
        <x:v>Uncrewed</x:v>
      </x:c>
      <x:c r="M5" s="24" t="str">
        <x:v>Architecture scenario</x:v>
      </x:c>
      <x:c r="N5" s="24" t="str">
        <x:v>Engineering scenario; NASA power interface / LunaGrid-Lite direction</x:v>
      </x:c>
    </x:row>
    <x:row r="6">
      <x:c r="A6" s="24" t="n">
        <x:v>3</x:v>
      </x:c>
      <x:c r="B6" s="24" t="str">
        <x:v>2030</x:v>
      </x:c>
      <x:c r="C6" s="24" t="str">
        <x:v>NASA/DOE lunar reactor target</x:v>
      </x:c>
      <x:c r="D6" s="24" t="str">
        <x:v>Fission / firm-power interface package</x:v>
      </x:c>
      <x:c r="E6" s="64" t="n">
        <x:v>6000</x:v>
      </x:c>
      <x:c r="F6" s="64" t="n">
        <x:v>5500</x:v>
      </x:c>
      <x:c r="G6" s="64" t="n">
        <x:v>50</x:v>
      </x:c>
      <x:c r="H6" s="64" t="n">
        <x:v>40</x:v>
      </x:c>
      <x:c r="I6" s="64" t="n">
        <x:v>1</x:v>
      </x:c>
      <x:c r="J6" s="64" t="n">
        <x:v>1000</x:v>
      </x:c>
      <x:c r="K6" s="64" t="str">
        <x:v>Commission firm source, HV transmission, local 120 VDC conversion, black-start battery</x:v>
      </x:c>
      <x:c r="L6" s="24" t="str">
        <x:v>Uncrewed-to-crewed</x:v>
      </x:c>
      <x:c r="M6" s="24" t="str">
        <x:v>NASA target + integration scenario</x:v>
      </x:c>
      <x:c r="N6" s="24" t="str">
        <x:v>NASA 2030 reactor target; historical 40 kW-class &lt;6 t requirement</x:v>
      </x:c>
    </x:row>
    <x:row r="7">
      <x:c r="A7" s="24" t="n">
        <x:v>4</x:v>
      </x:c>
      <x:c r="B7" s="24" t="str">
        <x:v>2031–2032</x:v>
      </x:c>
      <x:c r="C7" s="24" t="str">
        <x:v>Large cargo capability; pressurized rover no earlier than 2032</x:v>
      </x:c>
      <x:c r="D7" s="24" t="str">
        <x:v>Mobility + Node 03</x:v>
      </x:c>
      <x:c r="E7" s="64" t="n">
        <x:v>15000</x:v>
      </x:c>
      <x:c r="F7" s="64" t="n">
        <x:v>2500</x:v>
      </x:c>
      <x:c r="G7" s="64" t="n">
        <x:v>150</x:v>
      </x:c>
      <x:c r="H7" s="64" t="n">
        <x:v>10</x:v>
      </x:c>
      <x:c r="I7" s="64" t="n">
        <x:v>1</x:v>
      </x:c>
      <x:c r="J7" s="64" t="n">
        <x:v>1000</x:v>
      </x:c>
      <x:c r="K7" s="64" t="str">
        <x:v>Rover service bay, EVA charging, maintenance power, utility umbilicals</x:v>
      </x:c>
      <x:c r="L7" s="24" t="str">
        <x:v>Crew-supporting</x:v>
      </x:c>
      <x:c r="M7" s="24" t="str">
        <x:v>NASA anchor + model</x:v>
      </x:c>
      <x:c r="N7" s="24" t="str">
        <x:v>12–15 t cargo lander class; pressurized rover no earlier than 2032</x:v>
      </x:c>
    </x:row>
    <x:row r="8">
      <x:c r="A8" s="24" t="n">
        <x:v>5</x:v>
      </x:c>
      <x:c r="B8" s="24" t="str">
        <x:v>2032–2033</x:v>
      </x:c>
      <x:c r="C8" s="24" t="str">
        <x:v>Habitat buildout</x:v>
      </x:c>
      <x:c r="D8" s="24" t="str">
        <x:v>Habitat support + Node 04</x:v>
      </x:c>
      <x:c r="E8" s="64" t="n">
        <x:v>15000</x:v>
      </x:c>
      <x:c r="F8" s="64" t="n">
        <x:v>3000</x:v>
      </x:c>
      <x:c r="G8" s="64" t="n">
        <x:v>200</x:v>
      </x:c>
      <x:c r="H8" s="64" t="n">
        <x:v>10</x:v>
      </x:c>
      <x:c r="I8" s="64" t="n">
        <x:v>1</x:v>
      </x:c>
      <x:c r="J8" s="64" t="n">
        <x:v>750</x:v>
      </x:c>
      <x:c r="K8" s="64" t="str">
        <x:v>Habitat local load center, ECLSS redundancy, crew handover peak support</x:v>
      </x:c>
      <x:c r="L8" s="24" t="str">
        <x:v>Crew-critical</x:v>
      </x:c>
      <x:c r="M8" s="24" t="str">
        <x:v>NASA anchor + model</x:v>
      </x:c>
      <x:c r="N8" s="24" t="str">
        <x:v>Initial lunar habitat / cargo buildout; habitat target no earlier than 2033</x:v>
      </x:c>
    </x:row>
    <x:row r="9">
      <x:c r="A9" s="24" t="n">
        <x:v>6</x:v>
      </x:c>
      <x:c r="B9" s="24" t="str">
        <x:v>2033+</x:v>
      </x:c>
      <x:c r="C9" s="24" t="str">
        <x:v>Sustained operations</x:v>
      </x:c>
      <x:c r="D9" s="24" t="str">
        <x:v>Plant Module 01 + optical towers</x:v>
      </x:c>
      <x:c r="E9" s="64" t="n">
        <x:v>15000</x:v>
      </x:c>
      <x:c r="F9" s="64" t="n">
        <x:v>2500</x:v>
      </x:c>
      <x:c r="G9" s="64" t="n">
        <x:v>100</x:v>
      </x:c>
      <x:c r="H9" s="64" t="n">
        <x:v>10</x:v>
      </x:c>
      <x:c r="I9" s="64" t="n">
        <x:v>1</x:v>
      </x:c>
      <x:c r="J9" s="64" t="n">
        <x:v>500</x:v>
      </x:c>
      <x:c r="K9" s="64" t="str">
        <x:v>Install 25–50 m² crop module, concentrator towers, dedicated crop/critical buses</x:v>
      </x:c>
      <x:c r="L9" s="24" t="str">
        <x:v>Crew-supporting</x:v>
      </x:c>
      <x:c r="M9" s="24" t="str">
        <x:v>LOGIC architecture</x:v>
      </x:c>
      <x:c r="N9" s="24" t="str">
        <x:v>Engineering scenario</x:v>
      </x:c>
    </x:row>
    <x:row r="10">
      <x:c r="A10" s="24" t="n">
        <x:v>7</x:v>
      </x:c>
      <x:c r="B10" s="24" t="str">
        <x:v>2034+</x:v>
      </x:c>
      <x:c r="C10" s="24" t="str">
        <x:v>Grid expansion</x:v>
      </x:c>
      <x:c r="D10" s="24" t="str">
        <x:v>Node 05 + Plant Expansion + ISRU feeder</x:v>
      </x:c>
      <x:c r="E10" s="64" t="n">
        <x:v>15000</x:v>
      </x:c>
      <x:c r="F10" s="64" t="n">
        <x:v>3500</x:v>
      </x:c>
      <x:c r="G10" s="64" t="n">
        <x:v>200</x:v>
      </x:c>
      <x:c r="H10" s="64" t="n">
        <x:v>20</x:v>
      </x:c>
      <x:c r="I10" s="64" t="n">
        <x:v>1</x:v>
      </x:c>
      <x:c r="J10" s="64" t="n">
        <x:v>1500</x:v>
      </x:c>
      <x:c r="K10" s="64" t="str">
        <x:v>Add plant racks, ISRU / construction branch, storage and feeder redundancy</x:v>
      </x:c>
      <x:c r="L10" s="24" t="str">
        <x:v>Sustained</x:v>
      </x:c>
      <x:c r="M10" s="24" t="str">
        <x:v>LOGIC architecture</x:v>
      </x:c>
      <x:c r="N10" s="24" t="str">
        <x:v>Engineering scenario</x:v>
      </x:c>
    </x:row>
    <x:row r="12">
      <x:c r="A12" s="63" t="str">
        <x:v>Model rules</x:v>
      </x:c>
      <x:c r="B12" s="63" t="str"/>
      <x:c r="C12" s="63" t="str"/>
      <x:c r="D12" s="63" t="str"/>
      <x:c r="E12" s="63" t="str"/>
      <x:c r="F12" s="63" t="str"/>
      <x:c r="G12" s="63" t="str"/>
      <x:c r="H12" s="63" t="str"/>
      <x:c r="I12" s="63" t="str"/>
      <x:c r="J12" s="63" t="str"/>
      <x:c r="K12" s="63" t="str"/>
      <x:c r="L12" s="63" t="str"/>
      <x:c r="M12" s="63" t="str"/>
      <x:c r="N12" s="63" t="str"/>
    </x:row>
    <x:row r="13">
      <x:c r="A13" s="24" t="str">
        <x:v>Large lunar cargo landers are currently planned in the 12–15 metric ton class; NASA states they are not expected before Artemis VII.</x:v>
      </x:c>
      <x:c r="B13" s="24"/>
      <x:c r="C13" s="24"/>
      <x:c r="D13" s="24"/>
      <x:c r="E13" s="24"/>
      <x:c r="F13" s="24"/>
      <x:c r="G13" s="24"/>
      <x:c r="H13" s="24"/>
      <x:c r="I13" s="24"/>
      <x:c r="J13" s="24"/>
      <x:c r="K13" s="24"/>
      <x:c r="L13" s="24"/>
      <x:c r="M13" s="24"/>
      <x:c r="N13" s="24"/>
    </x:row>
    <x:row r="14">
      <x:c r="A14" s="24" t="str">
        <x:v>NASA forecasts recurring lunar logistics demand of roughly 2,500–10,000 kg/year during Foundational Exploration, plus occasional large elements up to ~15,000 kg.</x:v>
      </x:c>
      <x:c r="B14" s="24"/>
      <x:c r="C14" s="24"/>
      <x:c r="D14" s="24"/>
      <x:c r="E14" s="24"/>
      <x:c r="F14" s="24"/>
      <x:c r="G14" s="24"/>
      <x:c r="H14" s="24"/>
      <x:c r="I14" s="24"/>
      <x:c r="J14" s="24"/>
      <x:c r="K14" s="24"/>
      <x:c r="L14" s="24"/>
      <x:c r="M14" s="24"/>
      <x:c r="N14" s="24"/>
    </x:row>
    <x:row r="15">
      <x:c r="A15" s="24" t="str">
        <x:v>Power infrastructure is treated as modular cargo: every landing should add useful generation, storage, distribution, or service capacity without waiting for the final base layout.</x:v>
      </x:c>
      <x:c r="B15" s="24"/>
      <x:c r="C15" s="24"/>
      <x:c r="D15" s="24"/>
      <x:c r="E15" s="24"/>
      <x:c r="F15" s="24"/>
      <x:c r="G15" s="24"/>
      <x:c r="H15" s="24"/>
      <x:c r="I15" s="24"/>
      <x:c r="J15" s="24"/>
      <x:c r="K15" s="24"/>
      <x:c r="L15" s="24"/>
      <x:c r="M15" s="24"/>
      <x:c r="N15" s="24"/>
    </x:row>
    <x:row r="16">
      <x:c r="A16" s="24" t="str">
        <x:v>Mass allocations above are engineering placeholders for trade studies, not flight manifests. Replace them as provider mass properties mature.</x:v>
      </x:c>
      <x:c r="B16" s="24"/>
      <x:c r="C16" s="24"/>
      <x:c r="D16" s="24"/>
      <x:c r="E16" s="24"/>
      <x:c r="F16" s="24"/>
      <x:c r="G16" s="24"/>
      <x:c r="H16" s="24"/>
      <x:c r="I16" s="24"/>
      <x:c r="J16" s="24"/>
      <x:c r="K16" s="24"/>
      <x:c r="L16" s="24"/>
      <x:c r="M16" s="24"/>
      <x:c r="N16" s="24"/>
    </x:row>
  </x:sheetData>
  <x:mergeCells>
    <x:mergeCell ref="A1:N1"/>
    <x:mergeCell ref="A13:N13"/>
    <x:mergeCell ref="A14:N14"/>
    <x:mergeCell ref="A15:N15"/>
    <x:mergeCell ref="A16:N16"/>
  </x:mergeCells>
  <x:pageMargins left="0.7" right="0.7" top="0.75" bottom="0.75" header="0.3" footer="0.3"/>
  <x:drawing xmlns:r="http://schemas.openxmlformats.org/officeDocument/2006/relationships" r:id="R46a16bc464a74634"/>
</x:worksheet>
</file>

<file path=xl/worksheets/sheet11.xml><?xml version="1.0" encoding="utf-8"?>
<x:worksheet xmlns:x="http://schemas.openxmlformats.org/spreadsheetml/2006/main">
  <x:sheetFormatPr defaultRowHeight="15"/>
  <x:cols>
    <x:col min="1" max="1" width="10" hidden="0" customWidth="1"/>
    <x:col min="2" max="2" width="22" hidden="0" customWidth="1"/>
    <x:col min="3" max="3" width="24" hidden="0" customWidth="1"/>
    <x:col min="4" max="4" width="14" hidden="0" customWidth="1"/>
    <x:col min="5" max="5" width="14" hidden="0" customWidth="1"/>
    <x:col min="6" max="6" width="14" hidden="0" customWidth="1"/>
    <x:col min="7" max="7" width="14" hidden="0" customWidth="1"/>
    <x:col min="8" max="8" width="24" hidden="0" customWidth="1"/>
    <x:col min="9" max="9" width="12" hidden="0" customWidth="1"/>
    <x:col min="10" max="10" width="34" hidden="0" customWidth="1"/>
    <x:col min="11" max="11" width="26" hidden="0" customWidth="1"/>
    <x:col min="12" max="12" width="24" hidden="0" customWidth="1"/>
    <x:col min="13" max="13" width="16" hidden="0" customWidth="1"/>
    <x:col min="14" max="14" width="16" hidden="0" customWidth="1"/>
    <x:col min="15" max="15" width="38" hidden="0" customWidth="1"/>
    <x:col min="16" max="16" width="40" hidden="0" customWidth="1"/>
    <x:col min="17" max="17" width="42" hidden="0" customWidth="1"/>
  </x:cols>
  <x:sheetData>
    <x:row r="1" ht="28" customHeight="1">
      <x:c r="A1" s="58" t="str">
        <x:v>Modular Lunar Microgrid — Utility Nodes and Service Points</x:v>
      </x:c>
    </x:row>
    <x:row r="3">
      <x:c r="A3" s="63" t="str">
        <x:v>Node ID</x:v>
      </x:c>
      <x:c r="B3" s="63" t="str">
        <x:v>Function</x:v>
      </x:c>
      <x:c r="C3" s="63" t="str">
        <x:v>Location Role</x:v>
      </x:c>
      <x:c r="D3" s="63" t="str">
        <x:v>Local Bus</x:v>
      </x:c>
      <x:c r="E3" s="63" t="str">
        <x:v>Trunk Interface</x:v>
      </x:c>
      <x:c r="F3" s="63" t="str">
        <x:v>Converter kW</x:v>
      </x:c>
      <x:c r="G3" s="63" t="str">
        <x:v>Battery kWh</x:v>
      </x:c>
      <x:c r="H3" s="63" t="str">
        <x:v>Service Charger</x:v>
      </x:c>
      <x:c r="I3" s="63" t="str">
        <x:v>Umbilicals</x:v>
      </x:c>
      <x:c r="J3" s="63" t="str">
        <x:v>Critical Loads Served</x:v>
      </x:c>
      <x:c r="K3" s="63" t="str">
        <x:v>Telemetry</x:v>
      </x:c>
      <x:c r="L3" s="63" t="str">
        <x:v>Fault Isolation</x:v>
      </x:c>
      <x:c r="M3" s="63" t="str">
        <x:v>Expansion Ports</x:v>
      </x:c>
      <x:c r="N3" s="63" t="str">
        <x:v>Target Timing</x:v>
      </x:c>
      <x:c r="O3" s="63" t="str">
        <x:v>Design Note</x:v>
      </x:c>
      <x:c r="P3" s="78" t="str">
        <x:v>Conversion Architecture</x:v>
      </x:c>
      <x:c r="Q3" s="87" t="str">
        <x:v>Surface HMI / Display Rule</x:v>
      </x:c>
    </x:row>
    <x:row r="4">
      <x:c r="A4" s="24" t="str">
        <x:v>UN-01</x:v>
      </x:c>
      <x:c r="B4" s="24" t="str">
        <x:v>Autonomous seed node</x:v>
      </x:c>
      <x:c r="C4" s="24" t="str">
        <x:v>Initial landing / power test</x:v>
      </x:c>
      <x:c r="D4" s="24" t="str">
        <x:v>120 VDC</x:v>
      </x:c>
      <x:c r="E4" s="24" t="str">
        <x:v>HV TBD</x:v>
      </x:c>
      <x:c r="F4" s="64" t="n">
        <x:v>10</x:v>
      </x:c>
      <x:c r="G4" s="64" t="n">
        <x:v>100</x:v>
      </x:c>
      <x:c r="H4" s="24" t="str">
        <x:v>Wired 6 kW</x:v>
      </x:c>
      <x:c r="I4" s="24" t="str">
        <x:v>2</x:v>
      </x:c>
      <x:c r="J4" s="24" t="str">
        <x:v>Comms, sensors, test loads</x:v>
      </x:c>
      <x:c r="K4" s="24" t="str">
        <x:v>V/I/T/SOC/insulation</x:v>
      </x:c>
      <x:c r="L4" s="24" t="str">
        <x:v>Sectionalizing + remote trip</x:v>
      </x:c>
      <x:c r="M4" s="24" t="str">
        <x:v>2</x:v>
      </x:c>
      <x:c r="N4" s="24" t="str">
        <x:v>2026–2028</x:v>
      </x:c>
      <x:c r="O4" s="24" t="str">
        <x:v>First permanent utility node; must operate unattended</x:v>
      </x:c>
      <x:c r="P4" s="24" t="str">
        <x:v>1–2 standard 5 kW isolated DC/DC bricks; local 120 VDC bus</x:v>
      </x:c>
      <x:c r="Q4" s="24" t="str">
        <x:v>No conventional LCD dependency; hardened indicators + remote diagnostics</x:v>
      </x:c>
    </x:row>
    <x:row r="5">
      <x:c r="A5" s="24" t="str">
        <x:v>UN-02</x:v>
      </x:c>
      <x:c r="B5" s="24" t="str">
        <x:v>Vehicle service node</x:v>
      </x:c>
      <x:c r="C5" s="24" t="str">
        <x:v>Rover parking / maintenance</x:v>
      </x:c>
      <x:c r="D5" s="24" t="str">
        <x:v>120 VDC</x:v>
      </x:c>
      <x:c r="E5" s="24" t="str">
        <x:v>HV TBD</x:v>
      </x:c>
      <x:c r="F5" s="64" t="n">
        <x:v>10</x:v>
      </x:c>
      <x:c r="G5" s="64" t="n">
        <x:v>100</x:v>
      </x:c>
      <x:c r="H5" s="24" t="str">
        <x:v>Wired first; wireless later</x:v>
      </x:c>
      <x:c r="I5" s="24" t="str">
        <x:v>4</x:v>
      </x:c>
      <x:c r="J5" s="24" t="str">
        <x:v>Rover charging, tools, diagnostics</x:v>
      </x:c>
      <x:c r="K5" s="24" t="str">
        <x:v>Add connector temp/dust state</x:v>
      </x:c>
      <x:c r="L5" s="24" t="str">
        <x:v>Dual feeder preferred</x:v>
      </x:c>
      <x:c r="M5" s="24" t="str">
        <x:v>4</x:v>
      </x:c>
      <x:c r="N5" s="24" t="str">
        <x:v>2028–2030</x:v>
      </x:c>
      <x:c r="O5" s="24" t="str">
        <x:v>Drive-up service spot; standardized mechanical alignment features</x:v>
      </x:c>
      <x:c r="P5" s="24" t="str">
        <x:v>2 standard bricks; charger load can be time-shifted</x:v>
      </x:c>
      <x:c r="Q5" s="24" t="str">
        <x:v>No conventional LCD dependency; rover/tablet provides detailed UI</x:v>
      </x:c>
    </x:row>
    <x:row r="6">
      <x:c r="A6" s="24" t="str">
        <x:v>UN-03</x:v>
      </x:c>
      <x:c r="B6" s="24" t="str">
        <x:v>Mobility / EVA node</x:v>
      </x:c>
      <x:c r="C6" s="24" t="str">
        <x:v>Pressurized rover + EVA zone</x:v>
      </x:c>
      <x:c r="D6" s="24" t="str">
        <x:v>120/28 VDC</x:v>
      </x:c>
      <x:c r="E6" s="24" t="str">
        <x:v>HV TBD</x:v>
      </x:c>
      <x:c r="F6" s="64" t="n">
        <x:v>20</x:v>
      </x:c>
      <x:c r="G6" s="64" t="n">
        <x:v>150</x:v>
      </x:c>
      <x:c r="H6" s="24" t="str">
        <x:v>Wired + proximity charging demo</x:v>
      </x:c>
      <x:c r="I6" s="24" t="str">
        <x:v>4</x:v>
      </x:c>
      <x:c r="J6" s="24" t="str">
        <x:v>Rover, EVA batteries, comms, lights</x:v>
      </x:c>
      <x:c r="K6" s="24" t="str">
        <x:v>Full node health + charger alignment</x:v>
      </x:c>
      <x:c r="L6" s="24" t="str">
        <x:v>Local breaker + trunk isolation</x:v>
      </x:c>
      <x:c r="M6" s="24" t="str">
        <x:v>4</x:v>
      </x:c>
      <x:c r="N6" s="24" t="str">
        <x:v>2031–2032</x:v>
      </x:c>
      <x:c r="O6" s="24" t="str">
        <x:v>Designed around rover turnaround workflow</x:v>
      </x:c>
      <x:c r="P6" s="24" t="str">
        <x:v>4 standard bricks; 120/48/28 VDC service</x:v>
      </x:c>
      <x:c r="Q6" s="24" t="str">
        <x:v>Minimal hardened local status only; full UI remote</x:v>
      </x:c>
    </x:row>
    <x:row r="7">
      <x:c r="A7" s="24" t="str">
        <x:v>UN-04</x:v>
      </x:c>
      <x:c r="B7" s="24" t="str">
        <x:v>Habitat critical node</x:v>
      </x:c>
      <x:c r="C7" s="24" t="str">
        <x:v>Habitat cluster</x:v>
      </x:c>
      <x:c r="D7" s="24" t="str">
        <x:v>120/28 VDC</x:v>
      </x:c>
      <x:c r="E7" s="24" t="str">
        <x:v>HV TBD</x:v>
      </x:c>
      <x:c r="F7" s="64" t="n">
        <x:v>25</x:v>
      </x:c>
      <x:c r="G7" s="64" t="n">
        <x:v>200</x:v>
      </x:c>
      <x:c r="H7" s="24" t="str">
        <x:v>Service port</x:v>
      </x:c>
      <x:c r="I7" s="24" t="str">
        <x:v>6</x:v>
      </x:c>
      <x:c r="J7" s="24" t="str">
        <x:v>ECLSS, thermal, C&amp;DH, comms</x:v>
      </x:c>
      <x:c r="K7" s="24" t="str">
        <x:v>Critical-grade telemetry</x:v>
      </x:c>
      <x:c r="L7" s="24" t="str">
        <x:v>N+1 source path goal</x:v>
      </x:c>
      <x:c r="M7" s="24" t="str">
        <x:v>6</x:v>
      </x:c>
      <x:c r="N7" s="24" t="str">
        <x:v>2032–2033</x:v>
      </x:c>
      <x:c r="O7" s="24" t="str">
        <x:v>Load-shed discretionary branches before critical habitat loads</x:v>
      </x:c>
      <x:c r="P7" s="24" t="str">
        <x:v>5 active + 1 spare 5 kW brick target; N+1 crew-critical</x:v>
      </x:c>
      <x:c r="Q7" s="24" t="str">
        <x:v>Crew-critical node: sealed indicators + remote/habitat HMI</x:v>
      </x:c>
    </x:row>
    <x:row r="8">
      <x:c r="A8" s="24" t="str">
        <x:v>UN-05</x:v>
      </x:c>
      <x:c r="B8" s="24" t="str">
        <x:v>Plant / science node</x:v>
      </x:c>
      <x:c r="C8" s="24" t="str">
        <x:v>Plant module / lab</x:v>
      </x:c>
      <x:c r="D8" s="24" t="str">
        <x:v>120 VDC</x:v>
      </x:c>
      <x:c r="E8" s="24" t="str">
        <x:v>HV TBD</x:v>
      </x:c>
      <x:c r="F8" s="64" t="n">
        <x:v>20</x:v>
      </x:c>
      <x:c r="G8" s="64" t="n">
        <x:v>100</x:v>
      </x:c>
      <x:c r="H8" s="24" t="str">
        <x:v>Utility/service port</x:v>
      </x:c>
      <x:c r="I8" s="24" t="str">
        <x:v>4</x:v>
      </x:c>
      <x:c r="J8" s="24" t="str">
        <x:v>Plant pumps, controls, LEDs, lab</x:v>
      </x:c>
      <x:c r="K8" s="24" t="str">
        <x:v>Crop + power telemetry</x:v>
      </x:c>
      <x:c r="L8" s="24" t="str">
        <x:v>Separate lighting and life-support branches</x:v>
      </x:c>
      <x:c r="M8" s="24" t="str">
        <x:v>6</x:v>
      </x:c>
      <x:c r="N8" s="24" t="str">
        <x:v>2033+</x:v>
      </x:c>
      <x:c r="O8" s="24" t="str">
        <x:v>Crop lighting can shed while pumps/thermal remain powered</x:v>
      </x:c>
      <x:c r="P8" s="24" t="str">
        <x:v>3–4 standard bricks; crop lighting shed before pumps/controls</x:v>
      </x:c>
      <x:c r="Q8" s="24" t="str">
        <x:v>Local service indicators only; diagnostics on networked device</x:v>
      </x:c>
    </x:row>
    <x:row r="9">
      <x:c r="A9" s="24" t="str">
        <x:v>UN-06</x:v>
      </x:c>
      <x:c r="B9" s="24" t="str">
        <x:v>ISRU / construction node</x:v>
      </x:c>
      <x:c r="C9" s="24" t="str">
        <x:v>Remote industrial area</x:v>
      </x:c>
      <x:c r="D9" s="24" t="str">
        <x:v>120 VDC local</x:v>
      </x:c>
      <x:c r="E9" s="24" t="str">
        <x:v>HV TBD</x:v>
      </x:c>
      <x:c r="F9" s="64" t="n">
        <x:v>30</x:v>
      </x:c>
      <x:c r="G9" s="64" t="n">
        <x:v>200</x:v>
      </x:c>
      <x:c r="H9" s="24" t="str">
        <x:v>Heavy-service port</x:v>
      </x:c>
      <x:c r="I9" s="24" t="str">
        <x:v>4</x:v>
      </x:c>
      <x:c r="J9" s="24" t="str">
        <x:v>Excavation, processing, construction</x:v>
      </x:c>
      <x:c r="K9" s="24" t="str">
        <x:v>Thermal + feeder current emphasis</x:v>
      </x:c>
      <x:c r="L9" s="24" t="str">
        <x:v>Aggressive remote isolation</x:v>
      </x:c>
      <x:c r="M9" s="24" t="str">
        <x:v>8</x:v>
      </x:c>
      <x:c r="N9" s="24" t="str">
        <x:v>2034+</x:v>
      </x:c>
      <x:c r="O9" s="24" t="str">
        <x:v>High duty-cycle industrial loads should be geographically and electrically separable</x:v>
      </x:c>
      <x:c r="P9" s="24" t="str">
        <x:v>6–8 standard bricks; isolate industrial faults from settlement bus</x:v>
      </x:c>
      <x:c r="Q9" s="24" t="str">
        <x:v>Industrial node: rugged indicators / service connector; no exposed LCD baseline</x:v>
      </x:c>
    </x:row>
  </x:sheetData>
  <x:mergeCells>
    <x:mergeCell ref="A1:O1"/>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30" hidden="0" customWidth="1"/>
    <x:col min="4" max="4" width="28" hidden="0" customWidth="1"/>
    <x:col min="5" max="5" width="16" hidden="0" customWidth="1"/>
    <x:col min="6" max="6" width="28" hidden="0" customWidth="1"/>
    <x:col min="7" max="7" width="26" hidden="0" customWidth="1"/>
    <x:col min="8" max="8" width="40" hidden="0" customWidth="1"/>
    <x:col min="9" max="9" width="34" hidden="0" customWidth="1"/>
    <x:col min="10" max="10" width="38" hidden="0" customWidth="1"/>
    <x:col min="11" max="11" width="12" hidden="0" customWidth="1"/>
    <x:col min="12" max="12" width="14" hidden="0" customWidth="1"/>
    <x:col min="13" max="13" width="30" hidden="0" customWidth="1"/>
    <x:col min="14" max="14" width="34" hidden="0" customWidth="1"/>
  </x:cols>
  <x:sheetData>
    <x:row r="1" ht="28" customHeight="1">
      <x:c r="A1" s="58" t="str">
        <x:v>Lunar Utility Umbilicals and Vehicle Charging Roadmap</x:v>
      </x:c>
    </x:row>
    <x:row r="3">
      <x:c r="A3" s="63" t="str">
        <x:v>Item</x:v>
      </x:c>
      <x:c r="B3" s="63" t="str">
        <x:v>Near-Term Function</x:v>
      </x:c>
      <x:c r="C3" s="63" t="str">
        <x:v>Initial Method</x:v>
      </x:c>
      <x:c r="D3" s="63" t="str">
        <x:v>Later Method</x:v>
      </x:c>
      <x:c r="E3" s="63" t="str">
        <x:v>Power Class</x:v>
      </x:c>
      <x:c r="F3" s="63" t="str">
        <x:v>Key Environment</x:v>
      </x:c>
      <x:c r="G3" s="63" t="str">
        <x:v>Required Sensing</x:v>
      </x:c>
      <x:c r="H3" s="63" t="str">
        <x:v>Materials / Construction Concept</x:v>
      </x:c>
      <x:c r="I3" s="63" t="str">
        <x:v>Failure Mode to Design Out</x:v>
      </x:c>
      <x:c r="J3" s="63" t="str">
        <x:v>Test Sequence</x:v>
      </x:c>
      <x:c r="K3" s="63" t="str">
        <x:v>Target TRL</x:v>
      </x:c>
      <x:c r="L3" s="63" t="str">
        <x:v>Timing</x:v>
      </x:c>
      <x:c r="M3" s="63" t="str">
        <x:v>Supply / Spare Need</x:v>
      </x:c>
      <x:c r="N3" s="63" t="str">
        <x:v>Notes</x:v>
      </x:c>
    </x:row>
    <x:row r="4">
      <x:c r="A4" s="24" t="str">
        <x:v>Drive-up rover charger</x:v>
      </x:c>
      <x:c r="B4" s="24" t="str">
        <x:v>Recharge + diagnostics</x:v>
      </x:c>
      <x:c r="C4" s="24" t="str">
        <x:v>Mechanically indexed conductive umbilical</x:v>
      </x:c>
      <x:c r="D4" s="24" t="str">
        <x:v>Wireless/proximity charging after dust/alignment validation</x:v>
      </x:c>
      <x:c r="E4" s="24" t="str">
        <x:v>6–20 kW</x:v>
      </x:c>
      <x:c r="F4" s="24" t="str">
        <x:v>Dust, vacuum, thermal cycling, vehicle misalignment</x:v>
      </x:c>
      <x:c r="G4" s="24" t="str">
        <x:v>Contact temp, resistance, latch, dust, current</x:v>
      </x:c>
      <x:c r="H4" s="24" t="str">
        <x:v>Wrapped thermal/abrasion jacket; protected connector face; strain relief</x:v>
      </x:c>
      <x:c r="I4" s="24" t="str">
        <x:v>Arcing/high resistance from contaminated contacts</x:v>
      </x:c>
      <x:c r="J4" s="24" t="str">
        <x:v>Thermal-vac -&gt; regolith cycling -&gt; robotic mate/de-mate -&gt; lunar demo</x:v>
      </x:c>
      <x:c r="K4" s="24" t="n">
        <x:v>5</x:v>
      </x:c>
      <x:c r="L4" s="24" t="str">
        <x:v>2028–2032</x:v>
      </x:c>
      <x:c r="M4" s="24" t="str">
        <x:v>Connector caps, contact cartridges, cable sections</x:v>
      </x:c>
      <x:c r="N4" s="24" t="str">
        <x:v>NASA catalog lists ultra-fast proximity charging at TRL 5</x:v>
      </x:c>
    </x:row>
    <x:row r="5">
      <x:c r="A5" s="24" t="str">
        <x:v>Habitat utility umbilical</x:v>
      </x:c>
      <x:c r="B5" s="24" t="str">
        <x:v>Power + data; later fluids</x:v>
      </x:c>
      <x:c r="C5" s="24" t="str">
        <x:v>Physical multi-service umbilical</x:v>
      </x:c>
      <x:c r="D5" s="24" t="str">
        <x:v>Automated dust-tolerant mate</x:v>
      </x:c>
      <x:c r="E5" s="24" t="str">
        <x:v>6–20 kW plus data</x:v>
      </x:c>
      <x:c r="F5" s="24" t="str">
        <x:v>Dust ingress, repeated EVA handling</x:v>
      </x:c>
      <x:c r="G5" s="24" t="str">
        <x:v>V/I/T, insulation resistance, latch status</x:v>
      </x:c>
      <x:c r="H5" s="24" t="str">
        <x:v>Outer sacrificial jacket; thermal layer; abrasion protection; fiber/data core</x:v>
      </x:c>
      <x:c r="I5" s="24" t="str">
        <x:v>Connector damage / insulation cracking / dust bridging</x:v>
      </x:c>
      <x:c r="J5" s="24" t="str">
        <x:v>Bend-cycle + thermal-vac + abrasive dust + fault testing</x:v>
      </x:c>
      <x:c r="K5" s="24" t="n">
        <x:v>4</x:v>
      </x:c>
      <x:c r="L5" s="24" t="str">
        <x:v>2028–2033</x:v>
      </x:c>
      <x:c r="M5" s="24" t="str">
        <x:v>Spare connector heads, jackets, strain-relief parts</x:v>
      </x:c>
      <x:c r="N5" s="24" t="str">
        <x:v>NASA DTAU is TRL 4 for power/fluid transfer</x:v>
      </x:c>
    </x:row>
    <x:row r="6">
      <x:c r="A6" s="24" t="str">
        <x:v>HV feeder umbilical</x:v>
      </x:c>
      <x:c r="B6" s="24" t="str">
        <x:v>Node-to-node power transmission</x:v>
      </x:c>
      <x:c r="C6" s="24" t="str">
        <x:v>Deployable cable reel</x:v>
      </x:c>
      <x:c r="D6" s="24" t="str">
        <x:v>Robotic re-route / self-deploying segment</x:v>
      </x:c>
      <x:c r="E6" s="24" t="str">
        <x:v>10–40+ kW</x:v>
      </x:c>
      <x:c r="F6" s="24" t="str">
        <x:v>Regolith abrasion, surface plasma, thermal gradients</x:v>
      </x:c>
      <x:c r="G6" s="24" t="str">
        <x:v>Current, distributed temp, leakage, insulation health</x:v>
      </x:c>
      <x:c r="H6" s="24" t="str">
        <x:v>Low-mass HV cable with dust-tolerant interfaces</x:v>
      </x:c>
      <x:c r="I6" s="24" t="str">
        <x:v>Hot spot / dielectric breakdown / rover damage</x:v>
      </x:c>
      <x:c r="J6" s="24" t="str">
        <x:v>Cable reel demo -&gt; buried/exposed trade -&gt; lunar validation</x:v>
      </x:c>
      <x:c r="K6" s="24" t="n">
        <x:v>5</x:v>
      </x:c>
      <x:c r="L6" s="24" t="str">
        <x:v>2026–2032</x:v>
      </x:c>
      <x:c r="M6" s="24" t="str">
        <x:v>Reel cartridges, splice kits, converter modules</x:v>
      </x:c>
      <x:c r="N6" s="24" t="str">
        <x:v>NASA MIPS cable TRL 5; Astrobotic HV cable TRL 6</x:v>
      </x:c>
    </x:row>
    <x:row r="7">
      <x:c r="A7" s="24" t="str">
        <x:v>Wireless charging pad</x:v>
      </x:c>
      <x:c r="B7" s="24" t="str">
        <x:v>Routine rover turnaround</x:v>
      </x:c>
      <x:c r="C7" s="24" t="str">
        <x:v>Not baseline initially</x:v>
      </x:c>
      <x:c r="D7" s="24" t="str">
        <x:v>Resonant/proximity inductive</x:v>
      </x:c>
      <x:c r="E7" s="24" t="str">
        <x:v>5–20 kW</x:v>
      </x:c>
      <x:c r="F7" s="24" t="str">
        <x:v>Regolith layer, coil alignment, EMI, coil heating</x:v>
      </x:c>
      <x:c r="G7" s="24" t="str">
        <x:v>Coupling, coil temp, foreign-object detection</x:v>
      </x:c>
      <x:c r="H7" s="24" t="str">
        <x:v>Sealed coils below replaceable wear surface</x:v>
      </x:c>
      <x:c r="I7" s="24" t="str">
        <x:v>Low efficiency or local heating from dust/metallic debris</x:v>
      </x:c>
      <x:c r="J7" s="24" t="str">
        <x:v>Bench dust layers -&gt; alignment sweep -&gt; thermal-vac -&gt; field demo</x:v>
      </x:c>
      <x:c r="K7" s="24" t="n">
        <x:v>5</x:v>
      </x:c>
      <x:c r="L7" s="24" t="str">
        <x:v>2030+</x:v>
      </x:c>
      <x:c r="M7" s="24" t="str">
        <x:v>Replaceable pad surface, coil electronics</x:v>
      </x:c>
      <x:c r="N7" s="24" t="str">
        <x:v>Use only after surface contamination data is available</x:v>
      </x:c>
    </x:row>
  </x:sheetData>
  <x:mergeCells>
    <x:mergeCell ref="A1:N1"/>
  </x:mergeCells>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24" hidden="0" customWidth="1"/>
    <x:col min="3" max="3" width="30" hidden="0" customWidth="1"/>
    <x:col min="4" max="4" width="18" hidden="0" customWidth="1"/>
    <x:col min="5" max="5" width="18" hidden="0" customWidth="1"/>
    <x:col min="6" max="6" width="18" hidden="0" customWidth="1"/>
    <x:col min="7" max="7" width="12" hidden="0" customWidth="1"/>
    <x:col min="8" max="8" width="12" hidden="0" customWidth="1"/>
    <x:col min="9" max="9" width="20" hidden="0" customWidth="1"/>
    <x:col min="10" max="10" width="14" hidden="0" customWidth="1"/>
    <x:col min="11" max="11" width="18" hidden="0" customWidth="1"/>
    <x:col min="12" max="12" width="24" hidden="0" customWidth="1"/>
    <x:col min="13" max="13" width="16" hidden="0" customWidth="1"/>
    <x:col min="14" max="14" width="14" hidden="0" customWidth="1"/>
    <x:col min="15" max="15" width="38" hidden="0" customWidth="1"/>
    <x:col min="16" max="16" width="38" hidden="0" customWidth="1"/>
  </x:cols>
  <x:sheetData>
    <x:row r="1" ht="28" customHeight="1">
      <x:c r="A1" s="58" t="str">
        <x:v>Distributed Solar Concentrator Towers — Operational Control and Mass Trades</x:v>
      </x:c>
    </x:row>
    <x:row r="3">
      <x:c r="A3" s="63" t="str">
        <x:v>Tower ID</x:v>
      </x:c>
      <x:c r="B3" s="63" t="str">
        <x:v>Primary User</x:v>
      </x:c>
      <x:c r="C3" s="63" t="str">
        <x:v>Optical Role</x:v>
      </x:c>
      <x:c r="D3" s="63" t="str">
        <x:v>Nominal Optical kW</x:v>
      </x:c>
      <x:c r="E3" s="63" t="str">
        <x:v>Electric Actuator W</x:v>
      </x:c>
      <x:c r="F3" s="63" t="str">
        <x:v>Local Battery Wh</x:v>
      </x:c>
      <x:c r="G3" s="63" t="str">
        <x:v>Azimuth</x:v>
      </x:c>
      <x:c r="H3" s="63" t="str">
        <x:v>Elevation</x:v>
      </x:c>
      <x:c r="I3" s="63" t="str">
        <x:v>Shutter / Defocus</x:v>
      </x:c>
      <x:c r="J3" s="63" t="str">
        <x:v>Sun Sensor</x:v>
      </x:c>
      <x:c r="K3" s="63" t="str">
        <x:v>Absolute Encoder</x:v>
      </x:c>
      <x:c r="L3" s="63" t="str">
        <x:v>Safe State</x:v>
      </x:c>
      <x:c r="M3" s="63" t="str">
        <x:v>Mass Budget kg</x:v>
      </x:c>
      <x:c r="N3" s="63" t="str">
        <x:v>Timing</x:v>
      </x:c>
      <x:c r="O3" s="63" t="str">
        <x:v>Control Requirement</x:v>
      </x:c>
      <x:c r="P3" s="63" t="str">
        <x:v>Failure / Maintenance Focus</x:v>
      </x:c>
    </x:row>
    <x:row r="4">
      <x:c r="A4" s="24" t="str">
        <x:v>ST-01</x:v>
      </x:c>
      <x:c r="B4" s="24" t="str">
        <x:v>Plant Module 01</x:v>
      </x:c>
      <x:c r="C4" s="24" t="str">
        <x:v>Direct/pipe concentrated sunlight</x:v>
      </x:c>
      <x:c r="D4" s="64" t="n">
        <x:v>5</x:v>
      </x:c>
      <x:c r="E4" s="64" t="n">
        <x:v>100</x:v>
      </x:c>
      <x:c r="F4" s="64" t="n">
        <x:v>500</x:v>
      </x:c>
      <x:c r="G4" s="24" t="str">
        <x:v>Yes</x:v>
      </x:c>
      <x:c r="H4" s="24" t="str">
        <x:v>Yes</x:v>
      </x:c>
      <x:c r="I4" s="24" t="str">
        <x:v>Required</x:v>
      </x:c>
      <x:c r="J4" s="24" t="str">
        <x:v>Required</x:v>
      </x:c>
      <x:c r="K4" s="24" t="str">
        <x:v>Required</x:v>
      </x:c>
      <x:c r="L4" s="24" t="str">
        <x:v>Defocused + shutter closed</x:v>
      </x:c>
      <x:c r="M4" s="64" t="n">
        <x:v>150</x:v>
      </x:c>
      <x:c r="N4" s="24" t="str">
        <x:v>2033+</x:v>
      </x:c>
      <x:c r="O4" s="24" t="str">
        <x:v>Autonomous sun track; verified target lock before opening optic</x:v>
      </x:c>
      <x:c r="P4" s="24" t="str">
        <x:v>Dust on reflector, actuator stall, bearing lubrication, thermal distortion</x:v>
      </x:c>
    </x:row>
    <x:row r="5">
      <x:c r="A5" s="24" t="str">
        <x:v>ST-02</x:v>
      </x:c>
      <x:c r="B5" s="24" t="str">
        <x:v>Habitat thermal / plant backup</x:v>
      </x:c>
      <x:c r="C5" s="24" t="str">
        <x:v>Heating + plant backup</x:v>
      </x:c>
      <x:c r="D5" s="64" t="n">
        <x:v>5</x:v>
      </x:c>
      <x:c r="E5" s="64" t="n">
        <x:v>100</x:v>
      </x:c>
      <x:c r="F5" s="64" t="n">
        <x:v>500</x:v>
      </x:c>
      <x:c r="G5" s="24" t="str">
        <x:v>Yes</x:v>
      </x:c>
      <x:c r="H5" s="24" t="str">
        <x:v>Yes</x:v>
      </x:c>
      <x:c r="I5" s="24" t="str">
        <x:v>Required</x:v>
      </x:c>
      <x:c r="J5" s="24" t="str">
        <x:v>Required</x:v>
      </x:c>
      <x:c r="K5" s="24" t="str">
        <x:v>Required</x:v>
      </x:c>
      <x:c r="L5" s="24" t="str">
        <x:v>Defocused + shutter closed</x:v>
      </x:c>
      <x:c r="M5" s="64" t="n">
        <x:v>150</x:v>
      </x:c>
      <x:c r="N5" s="24" t="str">
        <x:v>2033+</x:v>
      </x:c>
      <x:c r="O5" s="24" t="str">
        <x:v>Time-share target schedule with exclusion zones</x:v>
      </x:c>
      <x:c r="P5" s="24" t="str">
        <x:v>Mispointing toward habitat skin or EVA corridor</x:v>
      </x:c>
    </x:row>
    <x:row r="6">
      <x:c r="A6" s="24" t="str">
        <x:v>ST-03</x:v>
      </x:c>
      <x:c r="B6" s="24" t="str">
        <x:v>Plant Expansion</x:v>
      </x:c>
      <x:c r="C6" s="24" t="str">
        <x:v>Crop-light augmentation</x:v>
      </x:c>
      <x:c r="D6" s="64" t="n">
        <x:v>10</x:v>
      </x:c>
      <x:c r="E6" s="64" t="n">
        <x:v>150</x:v>
      </x:c>
      <x:c r="F6" s="64" t="n">
        <x:v>750</x:v>
      </x:c>
      <x:c r="G6" s="24" t="str">
        <x:v>Yes</x:v>
      </x:c>
      <x:c r="H6" s="24" t="str">
        <x:v>Yes</x:v>
      </x:c>
      <x:c r="I6" s="24" t="str">
        <x:v>Required</x:v>
      </x:c>
      <x:c r="J6" s="24" t="str">
        <x:v>Required</x:v>
      </x:c>
      <x:c r="K6" s="24" t="str">
        <x:v>Required</x:v>
      </x:c>
      <x:c r="L6" s="24" t="str">
        <x:v>Defocused + shutter closed</x:v>
      </x:c>
      <x:c r="M6" s="64" t="n">
        <x:v>250</x:v>
      </x:c>
      <x:c r="N6" s="24" t="str">
        <x:v>2034+</x:v>
      </x:c>
      <x:c r="O6" s="24" t="str">
        <x:v>Coordinated dispatch with microgrid EMS and crop lighting schedule</x:v>
      </x:c>
      <x:c r="P6" s="24" t="str">
        <x:v>Actuator duty-cycle and reflector degradation</x:v>
      </x:c>
    </x:row>
    <x:row r="7">
      <x:c r="A7" s="24" t="str">
        <x:v>ST-04</x:v>
      </x:c>
      <x:c r="B7" s="24" t="str">
        <x:v>Industrial thermal user</x:v>
      </x:c>
      <x:c r="C7" s="24" t="str">
        <x:v>Process heat / ISRU assist</x:v>
      </x:c>
      <x:c r="D7" s="64" t="n">
        <x:v>10</x:v>
      </x:c>
      <x:c r="E7" s="64" t="n">
        <x:v>150</x:v>
      </x:c>
      <x:c r="F7" s="64" t="n">
        <x:v>750</x:v>
      </x:c>
      <x:c r="G7" s="24" t="str">
        <x:v>Yes</x:v>
      </x:c>
      <x:c r="H7" s="24" t="str">
        <x:v>Yes</x:v>
      </x:c>
      <x:c r="I7" s="24" t="str">
        <x:v>Required</x:v>
      </x:c>
      <x:c r="J7" s="24" t="str">
        <x:v>Required</x:v>
      </x:c>
      <x:c r="K7" s="24" t="str">
        <x:v>Required</x:v>
      </x:c>
      <x:c r="L7" s="24" t="str">
        <x:v>Defocused + shutter closed</x:v>
      </x:c>
      <x:c r="M7" s="64" t="n">
        <x:v>250</x:v>
      </x:c>
      <x:c r="N7" s="24" t="str">
        <x:v>2034+</x:v>
      </x:c>
      <x:c r="O7" s="24" t="str">
        <x:v>Hard interlocks with personnel keep-out and process receiver state</x:v>
      </x:c>
      <x:c r="P7" s="24" t="str">
        <x:v>High flux, target loss, thermal shock</x:v>
      </x:c>
    </x:row>
    <x:row r="9">
      <x:c r="A9" s="63" t="str">
        <x:v>Control law principle</x:v>
      </x:c>
      <x:c r="B9" s="63" t="str"/>
      <x:c r="C9" s="63" t="str"/>
      <x:c r="D9" s="63" t="str"/>
      <x:c r="E9" s="63" t="str"/>
      <x:c r="F9" s="63" t="str"/>
      <x:c r="G9" s="63" t="str"/>
      <x:c r="H9" s="63" t="str"/>
      <x:c r="I9" s="63" t="str"/>
      <x:c r="J9" s="63" t="str"/>
      <x:c r="K9" s="63" t="str"/>
      <x:c r="L9" s="63" t="str"/>
      <x:c r="M9" s="63" t="str"/>
      <x:c r="N9" s="63" t="str"/>
      <x:c r="O9" s="63" t="str"/>
      <x:c r="P9" s="63" t="str"/>
    </x:row>
    <x:row r="10">
      <x:c r="A10" s="24" t="str">
        <x:v>No verified receiver / target state -&gt; optical path remains closed or deliberately defocused.</x:v>
      </x:c>
      <x:c r="B10" s="24"/>
      <x:c r="C10" s="24"/>
      <x:c r="D10" s="24"/>
      <x:c r="E10" s="24"/>
      <x:c r="F10" s="24"/>
      <x:c r="G10" s="24"/>
      <x:c r="H10" s="24"/>
      <x:c r="I10" s="24"/>
      <x:c r="J10" s="24"/>
      <x:c r="K10" s="24"/>
      <x:c r="L10" s="24"/>
      <x:c r="M10" s="24"/>
      <x:c r="N10" s="24"/>
      <x:c r="O10" s="24"/>
      <x:c r="P10" s="24"/>
    </x:row>
    <x:row r="11">
      <x:c r="A11" s="24" t="str">
        <x:v>Tower controller must retain enough local energy to reach safe state after loss of grid power or communications.</x:v>
      </x:c>
      <x:c r="B11" s="24"/>
      <x:c r="C11" s="24"/>
      <x:c r="D11" s="24"/>
      <x:c r="E11" s="24"/>
      <x:c r="F11" s="24"/>
      <x:c r="G11" s="24"/>
      <x:c r="H11" s="24"/>
      <x:c r="I11" s="24"/>
      <x:c r="J11" s="24"/>
      <x:c r="K11" s="24"/>
      <x:c r="L11" s="24"/>
      <x:c r="M11" s="24"/>
      <x:c r="N11" s="24"/>
      <x:c r="O11" s="24"/>
      <x:c r="P11" s="24"/>
    </x:row>
    <x:row r="12">
      <x:c r="A12" s="24" t="str">
        <x:v>Central EMS schedules optical demand, but local tower controller owns the final safety interlock and defocus action.</x:v>
      </x:c>
      <x:c r="B12" s="24"/>
      <x:c r="C12" s="24"/>
      <x:c r="D12" s="24"/>
      <x:c r="E12" s="24"/>
      <x:c r="F12" s="24"/>
      <x:c r="G12" s="24"/>
      <x:c r="H12" s="24"/>
      <x:c r="I12" s="24"/>
      <x:c r="J12" s="24"/>
      <x:c r="K12" s="24"/>
      <x:c r="L12" s="24"/>
      <x:c r="M12" s="24"/>
      <x:c r="N12" s="24"/>
      <x:c r="O12" s="24"/>
      <x:c r="P12" s="24"/>
    </x:row>
    <x:row r="13">
      <x:c r="A13" s="24" t="str">
        <x:v>Reflector area and support structure should be sized by delivered optical power per landed kilogram, not by maximum aperture alone.</x:v>
      </x:c>
      <x:c r="B13" s="24"/>
      <x:c r="C13" s="24"/>
      <x:c r="D13" s="24"/>
      <x:c r="E13" s="24"/>
      <x:c r="F13" s="24"/>
      <x:c r="G13" s="24"/>
      <x:c r="H13" s="24"/>
      <x:c r="I13" s="24"/>
      <x:c r="J13" s="24"/>
      <x:c r="K13" s="24"/>
      <x:c r="L13" s="24"/>
      <x:c r="M13" s="24"/>
      <x:c r="N13" s="24"/>
      <x:c r="O13" s="24"/>
      <x:c r="P13" s="24"/>
    </x:row>
  </x:sheetData>
  <x:mergeCells>
    <x:mergeCell ref="A1:P1"/>
    <x:mergeCell ref="A10:P10"/>
    <x:mergeCell ref="A11:P11"/>
    <x:mergeCell ref="A12:P12"/>
    <x:mergeCell ref="A13:P13"/>
  </x:mergeCells>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30" hidden="0" customWidth="1"/>
    <x:col min="3" max="3" width="16" hidden="0" customWidth="1"/>
    <x:col min="4" max="4" width="16" hidden="0" customWidth="1"/>
    <x:col min="5" max="5" width="16" hidden="0" customWidth="1"/>
    <x:col min="6" max="6" width="16" hidden="0" customWidth="1"/>
    <x:col min="7" max="7" width="26" hidden="0" customWidth="1"/>
    <x:col min="8" max="8" width="28" hidden="0" customWidth="1"/>
    <x:col min="9" max="9" width="14" hidden="0" customWidth="1"/>
    <x:col min="10" max="10" width="34" hidden="0" customWidth="1"/>
    <x:col min="11" max="11" width="24" hidden="0" customWidth="1"/>
    <x:col min="12" max="12" width="18" hidden="0" customWidth="1"/>
    <x:col min="13" max="13" width="42" hidden="0" customWidth="1"/>
  </x:cols>
  <x:sheetData>
    <x:row r="1" ht="28" customHeight="1">
      <x:c r="A1" s="58" t="str">
        <x:v>Power-System Logistics and Expected Supply Demand</x:v>
      </x:c>
    </x:row>
    <x:row r="3">
      <x:c r="A3" s="63" t="str">
        <x:v>Supply Class</x:v>
      </x:c>
      <x:c r="B3" s="63" t="str">
        <x:v>Planning Driver</x:v>
      </x:c>
      <x:c r="C3" s="63" t="str">
        <x:v>Annual Low kg</x:v>
      </x:c>
      <x:c r="D3" s="63" t="str">
        <x:v>Annual Nom kg</x:v>
      </x:c>
      <x:c r="E3" s="63" t="str">
        <x:v>Annual High kg</x:v>
      </x:c>
      <x:c r="F3" s="63" t="str">
        <x:v>Criticality</x:v>
      </x:c>
      <x:c r="G3" s="63" t="str">
        <x:v>Shelf / Storage Issue</x:v>
      </x:c>
      <x:c r="H3" s="63" t="str">
        <x:v>Primary Consumer</x:v>
      </x:c>
      <x:c r="I3" s="63" t="str">
        <x:v>Preposition?</x:v>
      </x:c>
      <x:c r="J3" s="63" t="str">
        <x:v>Spares Philosophy</x:v>
      </x:c>
      <x:c r="K3" s="63" t="str">
        <x:v>Local Manufacture Potential</x:v>
      </x:c>
      <x:c r="L3" s="63" t="str">
        <x:v>Timing</x:v>
      </x:c>
      <x:c r="M3" s="63" t="str">
        <x:v>Source / Basis</x:v>
      </x:c>
    </x:row>
    <x:row r="4">
      <x:c r="A4" s="24" t="str">
        <x:v>Electrical spares &amp; PMAD modules</x:v>
      </x:c>
      <x:c r="B4" s="24" t="str">
        <x:v>Node count / converter failures</x:v>
      </x:c>
      <x:c r="C4" s="64" t="n">
        <x:v>150</x:v>
      </x:c>
      <x:c r="D4" s="64" t="n">
        <x:v>300</x:v>
      </x:c>
      <x:c r="E4" s="64" t="n">
        <x:v>600</x:v>
      </x:c>
      <x:c r="F4" s="24" t="str">
        <x:v>High</x:v>
      </x:c>
      <x:c r="G4" s="24" t="str">
        <x:v>Radiation + thermal storage</x:v>
      </x:c>
      <x:c r="H4" s="24" t="str">
        <x:v>All utility nodes</x:v>
      </x:c>
      <x:c r="I4" s="24" t="str">
        <x:v>Yes</x:v>
      </x:c>
      <x:c r="J4" s="24" t="str">
        <x:v>LRU swap; 1 critical spare per class</x:v>
      </x:c>
      <x:c r="K4" s="24" t="str">
        <x:v>Medium later</x:v>
      </x:c>
      <x:c r="L4" s="24" t="str">
        <x:v>From first node onward</x:v>
      </x:c>
      <x:c r="M4" s="24" t="str">
        <x:v>Engineering allocation within NASA recurring cargo envelope</x:v>
      </x:c>
    </x:row>
    <x:row r="5">
      <x:c r="A5" s="24" t="str">
        <x:v>Cable / connector spares</x:v>
      </x:c>
      <x:c r="B5" s="24" t="str">
        <x:v>Route length / damage rate</x:v>
      </x:c>
      <x:c r="C5" s="64" t="n">
        <x:v>200</x:v>
      </x:c>
      <x:c r="D5" s="64" t="n">
        <x:v>500</x:v>
      </x:c>
      <x:c r="E5" s="64" t="n">
        <x:v>1200</x:v>
      </x:c>
      <x:c r="F5" s="24" t="str">
        <x:v>High</x:v>
      </x:c>
      <x:c r="G5" s="24" t="str">
        <x:v>Keep connector faces sealed</x:v>
      </x:c>
      <x:c r="H5" s="24" t="str">
        <x:v>Grid feeders / service points</x:v>
      </x:c>
      <x:c r="I5" s="24" t="str">
        <x:v>Yes</x:v>
      </x:c>
      <x:c r="J5" s="24" t="str">
        <x:v>Segmented replaceable lengths + connector cartridges</x:v>
      </x:c>
      <x:c r="K5" s="24" t="str">
        <x:v>High for jackets; low for conductors initially</x:v>
      </x:c>
      <x:c r="L5" s="24" t="str">
        <x:v>From first cable deployment</x:v>
      </x:c>
      <x:c r="M5" s="24" t="str">
        <x:v>Engineering allocation</x:v>
      </x:c>
    </x:row>
    <x:row r="6">
      <x:c r="A6" s="24" t="str">
        <x:v>Battery modules</x:v>
      </x:c>
      <x:c r="B6" s="24" t="str">
        <x:v>Cycle life / cold soak / growth</x:v>
      </x:c>
      <x:c r="C6" s="64" t="n">
        <x:v>250</x:v>
      </x:c>
      <x:c r="D6" s="64" t="n">
        <x:v>750</x:v>
      </x:c>
      <x:c r="E6" s="64" t="n">
        <x:v>1500</x:v>
      </x:c>
      <x:c r="F6" s="24" t="str">
        <x:v>High</x:v>
      </x:c>
      <x:c r="G6" s="24" t="str">
        <x:v>Thermal conditioning</x:v>
      </x:c>
      <x:c r="H6" s="24" t="str">
        <x:v>Nodes, rover service, towers</x:v>
      </x:c>
      <x:c r="I6" s="24" t="str">
        <x:v>Yes</x:v>
      </x:c>
      <x:c r="J6" s="24" t="str">
        <x:v>Modular pack replacement rather than monolithic battery</x:v>
      </x:c>
      <x:c r="K6" s="24" t="str">
        <x:v>Low initially</x:v>
      </x:c>
      <x:c r="L6" s="24" t="str">
        <x:v>Annual / as-needed</x:v>
      </x:c>
      <x:c r="M6" s="24" t="str">
        <x:v>Engineering allocation</x:v>
      </x:c>
    </x:row>
    <x:row r="7">
      <x:c r="A7" s="24" t="str">
        <x:v>Actuators / bearings / encoders</x:v>
      </x:c>
      <x:c r="B7" s="24" t="str">
        <x:v>Tower count + duty cycle</x:v>
      </x:c>
      <x:c r="C7" s="64" t="n">
        <x:v>50</x:v>
      </x:c>
      <x:c r="D7" s="64" t="n">
        <x:v>150</x:v>
      </x:c>
      <x:c r="E7" s="64" t="n">
        <x:v>300</x:v>
      </x:c>
      <x:c r="F7" s="24" t="str">
        <x:v>Medium-High</x:v>
      </x:c>
      <x:c r="G7" s="24" t="str">
        <x:v>Lubricant / seal compatibility</x:v>
      </x:c>
      <x:c r="H7" s="24" t="str">
        <x:v>Solar concentrator towers</x:v>
      </x:c>
      <x:c r="I7" s="24" t="str">
        <x:v>Yes</x:v>
      </x:c>
      <x:c r="J7" s="24" t="str">
        <x:v>Common actuator family; spare motor/gearbox/encoder kits</x:v>
      </x:c>
      <x:c r="K7" s="24" t="str">
        <x:v>Medium</x:v>
      </x:c>
      <x:c r="L7" s="24" t="str">
        <x:v>Before optical tower deployment</x:v>
      </x:c>
      <x:c r="M7" s="24" t="str">
        <x:v>Engineering allocation</x:v>
      </x:c>
    </x:row>
    <x:row r="8">
      <x:c r="A8" s="24" t="str">
        <x:v>Dust-control / seals / covers</x:v>
      </x:c>
      <x:c r="B8" s="24" t="str">
        <x:v>Exposure / mate cycles</x:v>
      </x:c>
      <x:c r="C8" s="64" t="n">
        <x:v>50</x:v>
      </x:c>
      <x:c r="D8" s="64" t="n">
        <x:v>150</x:v>
      </x:c>
      <x:c r="E8" s="64" t="n">
        <x:v>400</x:v>
      </x:c>
      <x:c r="F8" s="24" t="str">
        <x:v>High</x:v>
      </x:c>
      <x:c r="G8" s="24" t="str">
        <x:v>Abrasive dust contamination</x:v>
      </x:c>
      <x:c r="H8" s="24" t="str">
        <x:v>Connectors, chargers, optics</x:v>
      </x:c>
      <x:c r="I8" s="24" t="str">
        <x:v>Yes</x:v>
      </x:c>
      <x:c r="J8" s="24" t="str">
        <x:v>Consumable covers + replaceable seals</x:v>
      </x:c>
      <x:c r="K8" s="24" t="str">
        <x:v>High</x:v>
      </x:c>
      <x:c r="L8" s="24" t="str">
        <x:v>Continuous</x:v>
      </x:c>
      <x:c r="M8" s="24" t="str">
        <x:v>Engineering allocation</x:v>
      </x:c>
    </x:row>
    <x:row r="9">
      <x:c r="A9" s="24" t="str">
        <x:v>Optical surfaces / reflector panels</x:v>
      </x:c>
      <x:c r="B9" s="24" t="str">
        <x:v>Degradation / damage</x:v>
      </x:c>
      <x:c r="C9" s="64" t="n">
        <x:v>50</x:v>
      </x:c>
      <x:c r="D9" s="64" t="n">
        <x:v>200</x:v>
      </x:c>
      <x:c r="E9" s="64" t="n">
        <x:v>500</x:v>
      </x:c>
      <x:c r="F9" s="24" t="str">
        <x:v>Medium</x:v>
      </x:c>
      <x:c r="G9" s="24" t="str">
        <x:v>Scratch / contamination</x:v>
      </x:c>
      <x:c r="H9" s="24" t="str">
        <x:v>Solar concentrators</x:v>
      </x:c>
      <x:c r="I9" s="24" t="str">
        <x:v>Some</x:v>
      </x:c>
      <x:c r="J9" s="24" t="str">
        <x:v>Replaceable facet/panel approach</x:v>
      </x:c>
      <x:c r="K9" s="24" t="str">
        <x:v>Medium-High eventually</x:v>
      </x:c>
      <x:c r="L9" s="24" t="str">
        <x:v>2033+</x:v>
      </x:c>
      <x:c r="M9" s="24" t="str">
        <x:v>Engineering allocation</x:v>
      </x:c>
    </x:row>
    <x:row r="10">
      <x:c r="A10" s="24" t="str">
        <x:v>Plant electrical / pump spares</x:v>
      </x:c>
      <x:c r="B10" s="24" t="str">
        <x:v>Crop uptime requirement</x:v>
      </x:c>
      <x:c r="C10" s="64" t="n">
        <x:v>100</x:v>
      </x:c>
      <x:c r="D10" s="64" t="n">
        <x:v>250</x:v>
      </x:c>
      <x:c r="E10" s="64" t="n">
        <x:v>500</x:v>
      </x:c>
      <x:c r="F10" s="24" t="str">
        <x:v>Medium-High</x:v>
      </x:c>
      <x:c r="G10" s="24" t="str">
        <x:v>Clean storage</x:v>
      </x:c>
      <x:c r="H10" s="24" t="str">
        <x:v>Plant module</x:v>
      </x:c>
      <x:c r="I10" s="24" t="str">
        <x:v>Yes</x:v>
      </x:c>
      <x:c r="J10" s="24" t="str">
        <x:v>N+1 pumps, drivers, sensors, LED modules</x:v>
      </x:c>
      <x:c r="K10" s="24" t="str">
        <x:v>Medium</x:v>
      </x:c>
      <x:c r="L10" s="24" t="str">
        <x:v>2033+</x:v>
      </x:c>
      <x:c r="M10" s="24" t="str">
        <x:v>Engineering allocation</x:v>
      </x:c>
    </x:row>
    <x:row r="11">
      <x:c r="A11" s="24" t="str">
        <x:v>General recurring logistics envelope</x:v>
      </x:c>
      <x:c r="B11" s="24" t="str">
        <x:v>NASA Foundational Exploration forecast</x:v>
      </x:c>
      <x:c r="C11" s="64" t="n">
        <x:v>2500</x:v>
      </x:c>
      <x:c r="D11" s="64" t="n">
        <x:v>6250</x:v>
      </x:c>
      <x:c r="E11" s="64" t="n">
        <x:v>10000</x:v>
      </x:c>
      <x:c r="F11" s="24" t="str">
        <x:v>Program-wide</x:v>
      </x:c>
      <x:c r="G11" s="24" t="str">
        <x:v>Mixed</x:v>
      </x:c>
      <x:c r="H11" s="24" t="str">
        <x:v>Whole settlement</x:v>
      </x:c>
      <x:c r="I11" s="24" t="str">
        <x:v>N/A</x:v>
      </x:c>
      <x:c r="J11" s="24" t="str">
        <x:v>Power spares compete with crew consumables, science, maintenance, and other logistics</x:v>
      </x:c>
      <x:c r="K11" s="24" t="str">
        <x:v>Varies</x:v>
      </x:c>
      <x:c r="L11" s="24" t="str">
        <x:v>Foundational Exploration</x:v>
      </x:c>
      <x:c r="M11" s="24" t="str">
        <x:v>NASA cargo white paper</x:v>
      </x:c>
    </x:row>
  </x:sheetData>
  <x:mergeCells>
    <x:mergeCell ref="A1:M1"/>
  </x:mergeCells>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30" hidden="0" customWidth="1"/>
    <x:col min="3" max="3" width="28" hidden="0" customWidth="1"/>
    <x:col min="4" max="4" width="38" hidden="0" customWidth="1"/>
    <x:col min="5" max="5" width="42" hidden="0" customWidth="1"/>
    <x:col min="6" max="6" width="32" hidden="0" customWidth="1"/>
    <x:col min="7" max="7" width="38" hidden="0" customWidth="1"/>
    <x:col min="8" max="8" width="28" hidden="0" customWidth="1"/>
    <x:col min="9" max="9" width="16" hidden="0" customWidth="1"/>
    <x:col min="10" max="10" width="15" hidden="0" customWidth="1"/>
    <x:col min="11" max="11" width="18" hidden="0" customWidth="1"/>
    <x:col min="12" max="12" width="12" hidden="0" customWidth="1"/>
    <x:col min="13" max="13" width="24" hidden="0" customWidth="1"/>
    <x:col min="14" max="14" width="14" hidden="0" customWidth="1"/>
    <x:col min="15" max="15" width="38" hidden="0" customWidth="1"/>
    <x:col min="16" max="16" width="34" hidden="0" customWidth="1"/>
  </x:cols>
  <x:sheetData>
    <x:row r="1" ht="28" customHeight="1">
      <x:c r="A1" s="58" t="str">
        <x:v>Obvious Technology / Function Gaps for a Modular Lunar Power Grid</x:v>
      </x:c>
    </x:row>
    <x:row r="3">
      <x:c r="A3" s="63" t="str">
        <x:v>Gap ID</x:v>
      </x:c>
      <x:c r="B3" s="63" t="str">
        <x:v>Function</x:v>
      </x:c>
      <x:c r="C3" s="63" t="str">
        <x:v>Current Reference / TRL</x:v>
      </x:c>
      <x:c r="D3" s="63" t="str">
        <x:v>Why It Is a Gap</x:v>
      </x:c>
      <x:c r="E3" s="63" t="str">
        <x:v>Needed Enhancement</x:v>
      </x:c>
      <x:c r="F3" s="63" t="str">
        <x:v>Target Capability</x:v>
      </x:c>
      <x:c r="G3" s="63" t="str">
        <x:v>Suggested Test</x:v>
      </x:c>
      <x:c r="H3" s="63" t="str">
        <x:v>Supply Dependency</x:v>
      </x:c>
      <x:c r="I3" s="63" t="str">
        <x:v>Mass Sensitivity</x:v>
      </x:c>
      <x:c r="J3" s="63" t="str">
        <x:v>Crew Critical?</x:v>
      </x:c>
      <x:c r="K3" s="63" t="str">
        <x:v>Earliest Need</x:v>
      </x:c>
      <x:c r="L3" s="63" t="str">
        <x:v>Goal TRL</x:v>
      </x:c>
      <x:c r="M3" s="63" t="str">
        <x:v>Development Owner Type</x:v>
      </x:c>
      <x:c r="N3" s="63" t="str">
        <x:v>Priority</x:v>
      </x:c>
      <x:c r="O3" s="63" t="str">
        <x:v>Source</x:v>
      </x:c>
      <x:c r="P3" s="63" t="str">
        <x:v>Notes</x:v>
      </x:c>
    </x:row>
    <x:row r="4">
      <x:c r="A4" s="24" t="str">
        <x:v>G-01</x:v>
      </x:c>
      <x:c r="B4" s="24" t="str">
        <x:v>Autonomous microgrid energy management</x:v>
      </x:c>
      <x:c r="C4" s="24" t="str">
        <x:v>NASA Advanced Energy Management System — TRL 3</x:v>
      </x:c>
      <x:c r="D4" s="24" t="str">
        <x:v>Distributed sources, batteries, mobile loads and uncrewed periods require autonomous dispatch and fault recovery</x:v>
      </x:c>
      <x:c r="E4" s="24" t="str">
        <x:v>Multi-node EMS with black start, islanding, bidirectional scheduling, graceful load shed and degraded-mode control</x:v>
      </x:c>
      <x:c r="F4" s="24" t="str">
        <x:v>Operate grid for weeks without crew intervention</x:v>
      </x:c>
      <x:c r="G4" s="24" t="str">
        <x:v>Hardware-in-loop 5-node microgrid + injected faults + comm loss</x:v>
      </x:c>
      <x:c r="H4" s="24" t="str">
        <x:v>Controllers, sensors, solid-state switchgear</x:v>
      </x:c>
      <x:c r="I4" s="24" t="str">
        <x:v>Low</x:v>
      </x:c>
      <x:c r="J4" s="24" t="str">
        <x:v>Yes</x:v>
      </x:c>
      <x:c r="K4" s="24" t="str">
        <x:v>Before Node 01/02 network</x:v>
      </x:c>
      <x:c r="L4" s="24" t="n">
        <x:v>6</x:v>
      </x:c>
      <x:c r="M4" s="24" t="str">
        <x:v>NASA/industry/software</x:v>
      </x:c>
      <x:c r="N4" s="24" t="str">
        <x:v>Very High</x:v>
      </x:c>
      <x:c r="O4" s="24" t="str">
        <x:v>https://www.nasa.gov/power/</x:v>
      </x:c>
      <x:c r="P4" s="24" t="str">
        <x:v>Strong LOGIC/COSMIC software opportunity</x:v>
      </x:c>
    </x:row>
    <x:row r="5">
      <x:c r="A5" s="24" t="str">
        <x:v>G-02</x:v>
      </x:c>
      <x:c r="B5" s="24" t="str">
        <x:v>Standard modular DC/DC power conversion / PMAD</x:v>
      </x:c>
      <x:c r="C5" s="24" t="str">
        <x:v>NASA Advanced Modular Power Systems — TRL 4</x:v>
      </x:c>
      <x:c r="D5" s="24" t="str">
        <x:v>Every new lander/module risks unique converters, connectors and spares</x:v>
      </x:c>
      <x:c r="E5" s="24" t="str">
        <x:v>Common isolated DC/DC converter bricks and replaceable PMAD modules across habitat, charger, plant, rover and science loads</x:v>
      </x:c>
      <x:c r="F5" s="24" t="str">
        <x:v>Standard HV-input to 120 VDC local conversion with 48/28 VDC secondary buses; N+1 at critical nodes</x:v>
      </x:c>
      <x:c r="G5" s="24" t="str">
        <x:v>Thermal-vac, radiation, fault and hot-swap testing</x:v>
      </x:c>
      <x:c r="H5" s="24" t="str">
        <x:v>SiC/GaN modules, magnetics, cold plates</x:v>
      </x:c>
      <x:c r="I5" s="24" t="str">
        <x:v>Medium</x:v>
      </x:c>
      <x:c r="J5" s="24" t="str">
        <x:v>Yes</x:v>
      </x:c>
      <x:c r="K5" s="24" t="str">
        <x:v>Early infrastructure</x:v>
      </x:c>
      <x:c r="L5" s="24" t="n">
        <x:v>6</x:v>
      </x:c>
      <x:c r="M5" s="24" t="str">
        <x:v>NASA/industry</x:v>
      </x:c>
      <x:c r="N5" s="24" t="str">
        <x:v>Very High</x:v>
      </x:c>
      <x:c r="O5" s="24" t="str">
        <x:v>https://www.nasa.gov/power/</x:v>
      </x:c>
      <x:c r="P5" s="24" t="str">
        <x:v>Directly reduces logistics burden; treat as the lunar equivalent of distributed neighborhood transformers</x:v>
      </x:c>
    </x:row>
    <x:row r="6">
      <x:c r="A6" s="24" t="str">
        <x:v>G-03</x:v>
      </x:c>
      <x:c r="B6" s="24" t="str">
        <x:v>Dust-tolerant automated utility umbilical</x:v>
      </x:c>
      <x:c r="C6" s="24" t="str">
        <x:v>NASA DTAU — TRL 4</x:v>
      </x:c>
      <x:c r="D6" s="24" t="str">
        <x:v>Repeated crew/robot mating of power/data/fluid connectors in abrasive regolith is a reliability bottleneck</x:v>
      </x:c>
      <x:c r="E6" s="24" t="str">
        <x:v>Self-cleaning / shielded face, robotic alignment, health sensing and replaceable contact cassette</x:v>
      </x:c>
      <x:c r="F6" s="24" t="str">
        <x:v>&gt;1000 mate cycles with lunar dust simulant and thermal-vac</x:v>
      </x:c>
      <x:c r="G6" s="24" t="str">
        <x:v>Automated mate/de-mate endurance campaign</x:v>
      </x:c>
      <x:c r="H6" s="24" t="str">
        <x:v>Connector heads, seals, actuators</x:v>
      </x:c>
      <x:c r="I6" s="24" t="str">
        <x:v>High</x:v>
      </x:c>
      <x:c r="J6" s="24" t="str">
        <x:v>Yes</x:v>
      </x:c>
      <x:c r="K6" s="24" t="str">
        <x:v>Before sustained habitat ops</x:v>
      </x:c>
      <x:c r="L6" s="24" t="n">
        <x:v>6</x:v>
      </x:c>
      <x:c r="M6" s="24" t="str">
        <x:v>NASA/industry</x:v>
      </x:c>
      <x:c r="N6" s="24" t="str">
        <x:v>Very High</x:v>
      </x:c>
      <x:c r="O6" s="24" t="str">
        <x:v>https://www.nasa.gov/power/</x:v>
      </x:c>
      <x:c r="P6" s="24" t="str">
        <x:v>Candidate for re-engineering around service-node concept</x:v>
      </x:c>
    </x:row>
    <x:row r="7">
      <x:c r="A7" s="24" t="str">
        <x:v>G-04</x:v>
      </x:c>
      <x:c r="B7" s="24" t="str">
        <x:v>High-voltage lightweight feeder + field repair</x:v>
      </x:c>
      <x:c r="C7" s="24" t="str">
        <x:v>Astrobotic HV cable TRL 6; MIPS cable TRL 5</x:v>
      </x:c>
      <x:c r="D7" s="24" t="str">
        <x:v>Long routes reduce current but increase dielectric, deployment, damage and repair issues</x:v>
      </x:c>
      <x:c r="E7" s="24" t="str">
        <x:v>Field-spliceable segmented feeder with distributed temperature/leakage sensing and rover-safe protection</x:v>
      </x:c>
      <x:c r="F7" s="24" t="str">
        <x:v>10–40+ kW over km-class routes at acceptable loss/kg</x:v>
      </x:c>
      <x:c r="G7" s="24" t="str">
        <x:v>Thermal-vac + regolith burial/exposure + rover-overrun + splice test</x:v>
      </x:c>
      <x:c r="H7" s="24" t="str">
        <x:v>Cable reels, splice kits, converters</x:v>
      </x:c>
      <x:c r="I7" s="24" t="str">
        <x:v>Very High</x:v>
      </x:c>
      <x:c r="J7" s="24" t="str">
        <x:v>Yes</x:v>
      </x:c>
      <x:c r="K7" s="24" t="str">
        <x:v>Before dispersed settlement</x:v>
      </x:c>
      <x:c r="L7" s="24" t="n">
        <x:v>7</x:v>
      </x:c>
      <x:c r="M7" s="24" t="str">
        <x:v>Industry/NASA</x:v>
      </x:c>
      <x:c r="N7" s="24" t="str">
        <x:v>Very High</x:v>
      </x:c>
      <x:c r="O7" s="24" t="str">
        <x:v>https://www.nasa.gov/power/</x:v>
      </x:c>
      <x:c r="P7" s="24" t="str">
        <x:v>Transmission voltage remains a trade variable</x:v>
      </x:c>
    </x:row>
    <x:row r="8">
      <x:c r="A8" s="24" t="str">
        <x:v>G-05</x:v>
      </x:c>
      <x:c r="B8" s="24" t="str">
        <x:v>Routine wireless vehicle charging</x:v>
      </x:c>
      <x:c r="C8" s="24" t="str">
        <x:v>NASA Ultra Fast Proximity Charging — TRL 5</x:v>
      </x:c>
      <x:c r="D8" s="24" t="str">
        <x:v>Dust layers, alignment, EMI and coil heating can erode efficiency and reliability</x:v>
      </x:c>
      <x:c r="E8" s="24" t="str">
        <x:v>Self-aligning parking geometry, foreign-object detection, adaptive tuning and sealed replaceable pad</x:v>
      </x:c>
      <x:c r="F8" s="24" t="str">
        <x:v>5–20 kW unattended rover charging</x:v>
      </x:c>
      <x:c r="G8" s="24" t="str">
        <x:v>Dust-thickness sweep + misalignment + thermal-vac + EMI test</x:v>
      </x:c>
      <x:c r="H8" s="24" t="str">
        <x:v>Power electronics, coils, wear surfaces</x:v>
      </x:c>
      <x:c r="I8" s="24" t="str">
        <x:v>Medium</x:v>
      </x:c>
      <x:c r="J8" s="24" t="str">
        <x:v>No initially</x:v>
      </x:c>
      <x:c r="K8" s="24" t="str">
        <x:v>After wired charger baseline</x:v>
      </x:c>
      <x:c r="L8" s="24" t="n">
        <x:v>7</x:v>
      </x:c>
      <x:c r="M8" s="24" t="str">
        <x:v>NASA/industry</x:v>
      </x:c>
      <x:c r="N8" s="24" t="str">
        <x:v>High</x:v>
      </x:c>
      <x:c r="O8" s="24" t="str">
        <x:v>https://www.nasa.gov/power/</x:v>
      </x:c>
      <x:c r="P8" s="24" t="str">
        <x:v>Wired umbilical is the early operational baseline</x:v>
      </x:c>
    </x:row>
    <x:row r="9">
      <x:c r="A9" s="24" t="str">
        <x:v>G-06</x:v>
      </x:c>
      <x:c r="B9" s="24" t="str">
        <x:v>Long-duration lunar energy storage</x:v>
      </x:c>
      <x:c r="C9" s="24" t="str">
        <x:v>NASA regenerative fuel cell — TRL 4; batteries mission-specific</x:v>
      </x:c>
      <x:c r="D9" s="24" t="str">
        <x:v>Storage must survive cold, cycling, radiation and long uncrewed periods while keeping landed mass low</x:v>
      </x:c>
      <x:c r="E9" s="24" t="str">
        <x:v>Modular battery/RFC hybrid with replaceable packs and autonomous thermal management</x:v>
      </x:c>
      <x:c r="F9" s="24" t="str">
        <x:v>&gt;12 h critical autonomy with high round-trip availability</x:v>
      </x:c>
      <x:c r="G9" s="24" t="str">
        <x:v>Cold-soak cycling + radiation + pack-isolation fault test</x:v>
      </x:c>
      <x:c r="H9" s="24" t="str">
        <x:v>Cells, pressure vessels if RFC, heaters, BMS</x:v>
      </x:c>
      <x:c r="I9" s="24" t="str">
        <x:v>Very High</x:v>
      </x:c>
      <x:c r="J9" s="24" t="str">
        <x:v>Yes</x:v>
      </x:c>
      <x:c r="K9" s="24" t="str">
        <x:v>Node 01 onward</x:v>
      </x:c>
      <x:c r="L9" s="24" t="n">
        <x:v>6</x:v>
      </x:c>
      <x:c r="M9" s="24" t="str">
        <x:v>NASA/industry</x:v>
      </x:c>
      <x:c r="N9" s="24" t="str">
        <x:v>Very High</x:v>
      </x:c>
      <x:c r="O9" s="24" t="str">
        <x:v>https://www.nasa.gov/power/</x:v>
      </x:c>
      <x:c r="P9" s="24" t="str">
        <x:v>First landed battery should collect degradation data</x:v>
      </x:c>
    </x:row>
    <x:row r="10">
      <x:c r="A10" s="24" t="str">
        <x:v>G-07</x:v>
      </x:c>
      <x:c r="B10" s="24" t="str">
        <x:v>Concentrator tower safe autonomous pointing</x:v>
      </x:c>
      <x:c r="C10" s="24" t="str">
        <x:v>No single mature lunar settlement system identified</x:v>
      </x:c>
      <x:c r="D10" s="24" t="str">
        <x:v>Optical concentrators introduce high-flux pointing hazards, actuator duty-cycle and dust/thermal distortion issues</x:v>
      </x:c>
      <x:c r="E10" s="24" t="str">
        <x:v>Fail-safe shutter/defocus, local safe-state battery, redundant sensing, target authorization and exclusion logic</x:v>
      </x:c>
      <x:c r="F10" s="24" t="str">
        <x:v>Autonomous safe optical delivery to plant/thermal receiver</x:v>
      </x:c>
      <x:c r="G10" s="24" t="str">
        <x:v>Sun simulator + actuator endurance + mispoint fault injection + dust test</x:v>
      </x:c>
      <x:c r="H10" s="24" t="str">
        <x:v>Reflectors, actuators, encoders, shutters</x:v>
      </x:c>
      <x:c r="I10" s="24" t="str">
        <x:v>High</x:v>
      </x:c>
      <x:c r="J10" s="24" t="str">
        <x:v>Potentially</x:v>
      </x:c>
      <x:c r="K10" s="24" t="str">
        <x:v>Before plant optical dependence</x:v>
      </x:c>
      <x:c r="L10" s="24" t="n">
        <x:v>5</x:v>
      </x:c>
      <x:c r="M10" s="24" t="str">
        <x:v>Industry/university</x:v>
      </x:c>
      <x:c r="N10" s="24" t="str">
        <x:v>High</x:v>
      </x:c>
      <x:c r="O10" s="24" t="str">
        <x:v>Architecture-derived gap</x:v>
      </x:c>
      <x:c r="P10" s="24" t="str">
        <x:v>Strong candidate for focused development</x:v>
      </x:c>
    </x:row>
    <x:row r="11">
      <x:c r="A11" s="24" t="str">
        <x:v>G-08</x:v>
      </x:c>
      <x:c r="B11" s="24" t="str">
        <x:v>Integrated power + data + health-monitoring umbilical</x:v>
      </x:c>
      <x:c r="C11" s="24" t="str">
        <x:v>Related DTAU / TULIPS concepts TRL 4–5</x:v>
      </x:c>
      <x:c r="D11" s="24" t="str">
        <x:v>Separate cable systems multiply mass and failure points; combined service needs health awareness</x:v>
      </x:c>
      <x:c r="E11" s="24" t="str">
        <x:v>Power/data/fiber integrated bundle with strain, temperature and insulation sensing and replaceable jacket</x:v>
      </x:c>
      <x:c r="F11" s="24" t="str">
        <x:v>Hundreds of meters, repairable, low-mass, crew/robot maintainable</x:v>
      </x:c>
      <x:c r="G11" s="24" t="str">
        <x:v>Flex-cycle + abrasion + thermal-vac + fault localization</x:v>
      </x:c>
      <x:c r="H11" s="24" t="str">
        <x:v>Fiber, conductors, jacket, sensors</x:v>
      </x:c>
      <x:c r="I11" s="24" t="str">
        <x:v>High</x:v>
      </x:c>
      <x:c r="J11" s="24" t="str">
        <x:v>Yes</x:v>
      </x:c>
      <x:c r="K11" s="24" t="str">
        <x:v>Early grid</x:v>
      </x:c>
      <x:c r="L11" s="24" t="n">
        <x:v>6</x:v>
      </x:c>
      <x:c r="M11" s="24" t="str">
        <x:v>Industry/NASA</x:v>
      </x:c>
      <x:c r="N11" s="24" t="str">
        <x:v>High</x:v>
      </x:c>
      <x:c r="O11" s="24" t="str">
        <x:v>https://www.nasa.gov/power/</x:v>
      </x:c>
      <x:c r="P11" s="24" t="str">
        <x:v>Direct match to wrapped ultra-temperature-swing-hardened concept</x:v>
      </x:c>
    </x:row>
    <x:row r="12">
      <x:c r="A12" s="24" t="str">
        <x:v>G-09</x:v>
      </x:c>
      <x:c r="B12" s="24" t="str">
        <x:v>Standard drive-up lunar service node</x:v>
      </x:c>
      <x:c r="C12" s="24" t="str">
        <x:v>No integrated standard today</x:v>
      </x:c>
      <x:c r="D12" s="24" t="str">
        <x:v>Vehicle charging, diagnostics, comms and utility transfer are treated as separate functions</x:v>
      </x:c>
      <x:c r="E12" s="24" t="str">
        <x:v>One standardized curbside node with physical docking geometry, power, data, diagnostics and optional fluids</x:v>
      </x:c>
      <x:c r="F12" s="24" t="str">
        <x:v>Rover can self-service without EVA crew</x:v>
      </x:c>
      <x:c r="G12" s="24" t="str">
        <x:v>Robotic docking repeatability + dust + fault + service workflow demo</x:v>
      </x:c>
      <x:c r="H12" s="24" t="str">
        <x:v>Node chassis, connector, charger, comms</x:v>
      </x:c>
      <x:c r="I12" s="24" t="str">
        <x:v>Medium</x:v>
      </x:c>
      <x:c r="J12" s="24" t="str">
        <x:v>No initially</x:v>
      </x:c>
      <x:c r="K12" s="24" t="str">
        <x:v>Mobility buildout</x:v>
      </x:c>
      <x:c r="L12" s="24" t="n">
        <x:v>5</x:v>
      </x:c>
      <x:c r="M12" s="24" t="str">
        <x:v>Industry / standards group</x:v>
      </x:c>
      <x:c r="N12" s="24" t="str">
        <x:v>High</x:v>
      </x:c>
      <x:c r="O12" s="24" t="str">
        <x:v>Architecture-derived gap</x:v>
      </x:c>
      <x:c r="P12" s="24" t="str">
        <x:v>Could become a clear LOGIC product concept</x:v>
      </x:c>
    </x:row>
    <x:row r="13">
      <x:c r="A13" s="20" t="str">
        <x:v>G-10</x:v>
      </x:c>
      <x:c r="B13" s="20" t="str">
        <x:v>Utility-node thermal recovery / warm-core survival</x:v>
      </x:c>
      <x:c r="C13" s="20" t="str">
        <x:v>Architecture-derived; subsystem maturity TBD</x:v>
      </x:c>
      <x:c r="D13" s="20" t="str">
        <x:v>Battery and critical electronics cannot be treated as ambient-temperature devices during long shadow periods</x:v>
      </x:c>
      <x:c r="E13" s="20" t="str">
        <x:v>Insulated warm core, controllable heat-recovery loop, radiator bypass, survival heaters, cold-start logic, and thermal-state-aware EMS</x:v>
      </x:c>
      <x:c r="F13" s="20" t="str">
        <x:v>Maintain battery/critical electronics inside qualified operating limits through the design shadow interval</x:v>
      </x:c>
      <x:c r="G13" s="20" t="str">
        <x:v>Integrated thermal-vac test with converters, batteries, cold plates, radiators, heater control, source loss, and restart</x:v>
      </x:c>
      <x:c r="H13" s="20" t="str">
        <x:v>Insulation, heat pipes/loops, valves, heaters, BMS, thermal sensors</x:v>
      </x:c>
      <x:c r="I13" s="20" t="str">
        <x:v>High</x:v>
      </x:c>
      <x:c r="J13" s="20" t="str">
        <x:v>Yes</x:v>
      </x:c>
      <x:c r="K13" s="20" t="str">
        <x:v>Node 01 onward</x:v>
      </x:c>
      <x:c r="L13" s="20" t="n">
        <x:v>6</x:v>
      </x:c>
      <x:c r="M13" s="20" t="str">
        <x:v>NASA/industry/thermal systems</x:v>
      </x:c>
      <x:c r="N13" s="20" t="str">
        <x:v>Very High</x:v>
      </x:c>
      <x:c r="O13" s="20" t="str">
        <x:v>NASA lunar thermal and cold-electronics work</x:v>
      </x:c>
      <x:c r="P13" s="20" t="str">
        <x:v>New baseline assumption: warm core rather than frozen operational battery</x:v>
      </x:c>
    </x:row>
    <x:row r="14">
      <x:c r="A14" s="24" t="str">
        <x:v>G-11</x:v>
      </x:c>
      <x:c r="B14" s="24" t="str">
        <x:v>Cold-hardened HMI / remote diagnostics</x:v>
      </x:c>
      <x:c r="C14" s="24" t="str">
        <x:v>Conventional LCD not baseline</x:v>
      </x:c>
      <x:c r="D14" s="24" t="str">
        <x:v>Exposed displays add a separate thermal-survival and radiation/dust burden</x:v>
      </x:c>
      <x:c r="E14" s="24" t="str">
        <x:v>Eliminate display dependency; use sealed indicators, remote UI, service-port diagnostics, and warm-core compute</x:v>
      </x:c>
      <x:c r="F14" s="24" t="str">
        <x:v>Node remains operable and diagnosable with no exposed general-purpose display</x:v>
      </x:c>
      <x:c r="G14" s="24" t="str">
        <x:v>Thermal-vac / radiation / dust test of indicators, local controls, and remote-maintenance workflow</x:v>
      </x:c>
      <x:c r="H14" s="24" t="str">
        <x:v>Indicators, controls, network interfaces, service device</x:v>
      </x:c>
      <x:c r="I14" s="24" t="str">
        <x:v>Medium</x:v>
      </x:c>
      <x:c r="J14" s="24" t="str">
        <x:v>No</x:v>
      </x:c>
      <x:c r="K14" s="24" t="str">
        <x:v>Node 01 onward</x:v>
      </x:c>
      <x:c r="L14" s="24" t="n">
        <x:v>6</x:v>
      </x:c>
      <x:c r="M14" s="24" t="str">
        <x:v>Industry/NASA/human-systems</x:v>
      </x:c>
      <x:c r="N14" s="24" t="str">
        <x:v>High</x:v>
      </x:c>
      <x:c r="O14" s="24" t="str">
        <x:v>NASA cold-electronics work</x:v>
      </x:c>
      <x:c r="P14" s="24" t="str">
        <x:v>Architecture removes conventional LCD from baseline</x:v>
      </x:c>
    </x:row>
    <x:row r="15">
      <x:c r="A15" t="str">
        <x:v>G-12</x:v>
      </x:c>
      <x:c r="B15" t="str">
        <x:v>Integrated surface C&amp;PNT, LTC timing and observability node</x:v>
      </x:c>
      <x:c r="C15" t="str">
        <x:v>NASA SCaN demand signal; hardware power TBD</x:v>
      </x:c>
      <x:c r="D15" t="str">
        <x:v>NASA defines availability, throughput, position and imaging needs but not terminal watts, duty cycle, thermal conditioning or landed mass</x:v>
      </x:c>
      <x:c r="E15" t="str">
        <x:v>Characterize low-rate safety, high-rate communications, PNT/LTC, sensing, processing and storage as separable power states</x:v>
      </x:c>
      <x:c r="F15" t="str">
        <x:v>Resilient surface aggregation node with Tier 0 safety service, graceful degradation and dual relay/DWE paths</x:v>
      </x:c>
      <x:c r="G15" t="str">
        <x:v>Thermal-vac hardware-in-loop test with link emulation, clock holdover, sensor streams, storage backlog and power-deficit transitions</x:v>
      </x:c>
      <x:c r="H15" t="str">
        <x:v>Radios, antennas, clocks, compute, storage, cameras, radiation sensors, thermal hardware</x:v>
      </x:c>
      <x:c r="I15" t="str">
        <x:v>Medium</x:v>
      </x:c>
      <x:c r="J15" t="str">
        <x:v>Yes</x:v>
      </x:c>
      <x:c r="K15" t="str">
        <x:v>Phase 1 node / before Phase 2 scaling</x:v>
      </x:c>
      <x:c r="L15" t="str">
        <x:v>6</x:v>
      </x:c>
      <x:c r="M15" t="str">
        <x:v>NASA/industry/SCaN</x:v>
      </x:c>
      <x:c r="N15" t="str">
        <x:v>Very High</x:v>
      </x:c>
      <x:c r="O15" t="str">
        <x:v>NASA SCaN lunar C&amp;PNT demand signal (2026)</x:v>
      </x:c>
      <x:c r="P15" t="str">
        <x:v>Do not convert Mbps directly to kW; replace allocations with measured terminal and node power</x:v>
      </x:c>
    </x:row>
  </x:sheetData>
  <x:mergeCells>
    <x:mergeCell ref="A1:P1"/>
  </x:mergeCells>
  <x:conditionalFormatting sqref="A4:P12">
    <x:cfRule type="expression" dxfId="2" priority="1">
      <x:formula>$N4="Very High"</x:formula>
    </x:cfRule>
    <x:cfRule type="expression" dxfId="3" priority="2">
      <x:formula>$N4="High"</x:formula>
    </x:cfRule>
  </x:conditionalFormatting>
  <x:dataValidations count="1">
    <x:dataValidation type="list" sqref="N4:N12">
      <x:formula1>"Very High,High,Medium,Low"</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20" hidden="0" customWidth="1"/>
    <x:col min="3" max="3" width="38" hidden="0" customWidth="1"/>
    <x:col min="4" max="4" width="14" hidden="0" customWidth="1"/>
    <x:col min="5" max="5" width="14" hidden="0" customWidth="1"/>
    <x:col min="6" max="6" width="16" hidden="0" customWidth="1"/>
    <x:col min="7" max="7" width="34" hidden="0" customWidth="1"/>
    <x:col min="8" max="8" width="30" hidden="0" customWidth="1"/>
    <x:col min="9" max="9" width="12" hidden="0" customWidth="1"/>
    <x:col min="10" max="10" width="12" hidden="0" customWidth="1"/>
    <x:col min="11" max="11" width="18" hidden="0" customWidth="1"/>
    <x:col min="12" max="12" width="32" hidden="0" customWidth="1"/>
    <x:col min="13" max="13" width="32" hidden="0" customWidth="1"/>
    <x:col min="14" max="14" width="14" hidden="0" customWidth="1"/>
  </x:cols>
  <x:sheetData>
    <x:row r="1" ht="28" customHeight="1">
      <x:c r="A1" s="58" t="str">
        <x:v>Suggested Development Tasks and Timing</x:v>
      </x:c>
    </x:row>
    <x:row r="3">
      <x:c r="A3" s="63" t="str">
        <x:v>Task ID</x:v>
      </x:c>
      <x:c r="B3" s="63" t="str">
        <x:v>Workstream</x:v>
      </x:c>
      <x:c r="C3" s="63" t="str">
        <x:v>Task</x:v>
      </x:c>
      <x:c r="D3" s="63" t="str">
        <x:v>Start</x:v>
      </x:c>
      <x:c r="E3" s="63" t="str">
        <x:v>Finish</x:v>
      </x:c>
      <x:c r="F3" s="63" t="str">
        <x:v>Predecessor</x:v>
      </x:c>
      <x:c r="G3" s="63" t="str">
        <x:v>Deliverable</x:v>
      </x:c>
      <x:c r="H3" s="63" t="str">
        <x:v>Test Environment</x:v>
      </x:c>
      <x:c r="I3" s="63" t="str">
        <x:v>TRL Start</x:v>
      </x:c>
      <x:c r="J3" s="63" t="str">
        <x:v>TRL Goal</x:v>
      </x:c>
      <x:c r="K3" s="63" t="str">
        <x:v>Supports Landing</x:v>
      </x:c>
      <x:c r="L3" s="63" t="str">
        <x:v>Mass / Supply Output</x:v>
      </x:c>
      <x:c r="M3" s="63" t="str">
        <x:v>Decision Gate</x:v>
      </x:c>
      <x:c r="N3" s="63" t="str">
        <x:v>Status</x:v>
      </x:c>
    </x:row>
    <x:row r="4">
      <x:c r="A4" s="24" t="str">
        <x:v>T-01</x:v>
      </x:c>
      <x:c r="B4" s="24" t="str">
        <x:v>Architecture</x:v>
      </x:c>
      <x:c r="C4" s="24" t="str">
        <x:v>Freeze node interface requirements</x:v>
      </x:c>
      <x:c r="D4" s="24" t="str">
        <x:v>2026 Q4</x:v>
      </x:c>
      <x:c r="E4" s="24" t="str">
        <x:v>2027 Q1</x:v>
      </x:c>
      <x:c r="F4" s="24" t="str">
        <x:v>—</x:v>
      </x:c>
      <x:c r="G4" s="24" t="str">
        <x:v>Utility Node ICD v1</x:v>
      </x:c>
      <x:c r="H4" s="24" t="str">
        <x:v>Design / digital twin</x:v>
      </x:c>
      <x:c r="I4" s="64" t="n">
        <x:v>3</x:v>
      </x:c>
      <x:c r="J4" s="64" t="n">
        <x:v>4</x:v>
      </x:c>
      <x:c r="K4" s="24" t="str">
        <x:v>1</x:v>
      </x:c>
      <x:c r="L4" s="24" t="str">
        <x:v>Connector, bus, telemetry standards</x:v>
      </x:c>
      <x:c r="M4" s="24" t="str">
        <x:v>Approve 120 VDC local + HV trade matrix</x:v>
      </x:c>
      <x:c r="N4" s="24" t="str">
        <x:v>Planned</x:v>
      </x:c>
    </x:row>
    <x:row r="5">
      <x:c r="A5" s="24" t="str">
        <x:v>T-02</x:v>
      </x:c>
      <x:c r="B5" s="24" t="str">
        <x:v>Energy Storage</x:v>
      </x:c>
      <x:c r="C5" s="24" t="str">
        <x:v>Select first-node battery chemistry / pack architecture</x:v>
      </x:c>
      <x:c r="D5" s="24" t="str">
        <x:v>2026 Q4</x:v>
      </x:c>
      <x:c r="E5" s="24" t="str">
        <x:v>2027 Q2</x:v>
      </x:c>
      <x:c r="F5" s="24" t="str">
        <x:v>T-01</x:v>
      </x:c>
      <x:c r="G5" s="24" t="str">
        <x:v>100 kWh-class seed battery concept</x:v>
      </x:c>
      <x:c r="H5" s="24" t="str">
        <x:v>Cell + thermal-vac screening</x:v>
      </x:c>
      <x:c r="I5" s="64" t="n">
        <x:v>4</x:v>
      </x:c>
      <x:c r="J5" s="64" t="n">
        <x:v>5</x:v>
      </x:c>
      <x:c r="K5" s="24" t="str">
        <x:v>1</x:v>
      </x:c>
      <x:c r="L5" s="24" t="str">
        <x:v>kg/kWh, heater load, spare module count</x:v>
      </x:c>
      <x:c r="M5" s="24" t="str">
        <x:v>Cold-soak/cycle pass</x:v>
      </x:c>
      <x:c r="N5" s="24" t="str">
        <x:v>Planned</x:v>
      </x:c>
    </x:row>
    <x:row r="6">
      <x:c r="A6" s="24" t="str">
        <x:v>T-03</x:v>
      </x:c>
      <x:c r="B6" s="24" t="str">
        <x:v>Distribution</x:v>
      </x:c>
      <x:c r="C6" s="24" t="str">
        <x:v>HV transmission voltage trade</x:v>
      </x:c>
      <x:c r="D6" s="24" t="str">
        <x:v>2026 Q4</x:v>
      </x:c>
      <x:c r="E6" s="24" t="str">
        <x:v>2027 Q2</x:v>
      </x:c>
      <x:c r="F6" s="24" t="str">
        <x:v>T-01</x:v>
      </x:c>
      <x:c r="G6" s="24" t="str">
        <x:v>120 V / 600 V / 1 kV / 3 kV+ trade</x:v>
      </x:c>
      <x:c r="H6" s="24" t="str">
        <x:v>Analytical + cable test</x:v>
      </x:c>
      <x:c r="I6" s="64" t="n">
        <x:v>4</x:v>
      </x:c>
      <x:c r="J6" s="64" t="n">
        <x:v>5</x:v>
      </x:c>
      <x:c r="K6" s="24" t="str">
        <x:v>1–2</x:v>
      </x:c>
      <x:c r="L6" s="24" t="str">
        <x:v>kg/km, loss/km, converter mass</x:v>
      </x:c>
      <x:c r="M6" s="24" t="str">
        <x:v>Select demo voltage</x:v>
      </x:c>
      <x:c r="N6" s="24" t="str">
        <x:v>Planned</x:v>
      </x:c>
    </x:row>
    <x:row r="7">
      <x:c r="A7" s="24" t="str">
        <x:v>T-04</x:v>
      </x:c>
      <x:c r="B7" s="24" t="str">
        <x:v>Umbilicals</x:v>
      </x:c>
      <x:c r="C7" s="24" t="str">
        <x:v>Build dust/thermal hardened utility umbilical coupon set</x:v>
      </x:c>
      <x:c r="D7" s="24" t="str">
        <x:v>2027 Q1</x:v>
      </x:c>
      <x:c r="E7" s="24" t="str">
        <x:v>2027 Q4</x:v>
      </x:c>
      <x:c r="F7" s="24" t="str">
        <x:v>T-01</x:v>
      </x:c>
      <x:c r="G7" s="24" t="str">
        <x:v>Cable + connector prototypes</x:v>
      </x:c>
      <x:c r="H7" s="24" t="str">
        <x:v>Thermal-vac + regolith + bend cycle</x:v>
      </x:c>
      <x:c r="I7" s="64" t="n">
        <x:v>4</x:v>
      </x:c>
      <x:c r="J7" s="64" t="n">
        <x:v>5</x:v>
      </x:c>
      <x:c r="K7" s="24" t="str">
        <x:v>2</x:v>
      </x:c>
      <x:c r="L7" s="24" t="str">
        <x:v>Spare jacket/connector rates</x:v>
      </x:c>
      <x:c r="M7" s="24" t="str">
        <x:v>1000-cycle mate/bend evidence</x:v>
      </x:c>
      <x:c r="N7" s="24" t="str">
        <x:v>Planned</x:v>
      </x:c>
    </x:row>
    <x:row r="8">
      <x:c r="A8" s="24" t="str">
        <x:v>T-05</x:v>
      </x:c>
      <x:c r="B8" s="24" t="str">
        <x:v>Controls</x:v>
      </x:c>
      <x:c r="C8" s="24" t="str">
        <x:v>Microgrid EMS hardware-in-loop demonstrator</x:v>
      </x:c>
      <x:c r="D8" s="24" t="str">
        <x:v>2027 Q1</x:v>
      </x:c>
      <x:c r="E8" s="24" t="str">
        <x:v>2028 Q1</x:v>
      </x:c>
      <x:c r="F8" s="24" t="str">
        <x:v>T-01</x:v>
      </x:c>
      <x:c r="G8" s="24" t="str">
        <x:v>5-node autonomous EMS</x:v>
      </x:c>
      <x:c r="H8" s="24" t="str">
        <x:v>HIL faults / comm loss</x:v>
      </x:c>
      <x:c r="I8" s="64" t="n">
        <x:v>3</x:v>
      </x:c>
      <x:c r="J8" s="64" t="n">
        <x:v>5</x:v>
      </x:c>
      <x:c r="K8" s="24" t="str">
        <x:v>1–2</x:v>
      </x:c>
      <x:c r="L8" s="24" t="str">
        <x:v>Controller/sensor BOM</x:v>
      </x:c>
      <x:c r="M8" s="24" t="str">
        <x:v>72 h unattended fault campaign</x:v>
      </x:c>
      <x:c r="N8" s="24" t="str">
        <x:v>Planned</x:v>
      </x:c>
    </x:row>
    <x:row r="9">
      <x:c r="A9" s="24" t="str">
        <x:v>T-06</x:v>
      </x:c>
      <x:c r="B9" s="24" t="str">
        <x:v>Vehicle Service</x:v>
      </x:c>
      <x:c r="C9" s="24" t="str">
        <x:v>Drive-up wired rover service node prototype</x:v>
      </x:c>
      <x:c r="D9" s="24" t="str">
        <x:v>2027 Q3</x:v>
      </x:c>
      <x:c r="E9" s="24" t="str">
        <x:v>2028 Q3</x:v>
      </x:c>
      <x:c r="F9" s="24" t="str">
        <x:v>T-04,T-05</x:v>
      </x:c>
      <x:c r="G9" s="24" t="str">
        <x:v>Service Node prototype</x:v>
      </x:c>
      <x:c r="H9" s="24" t="str">
        <x:v>Dust + docking + load testing</x:v>
      </x:c>
      <x:c r="I9" s="64" t="n">
        <x:v>4</x:v>
      </x:c>
      <x:c r="J9" s="64" t="n">
        <x:v>5</x:v>
      </x:c>
      <x:c r="K9" s="24" t="str">
        <x:v>2</x:v>
      </x:c>
      <x:c r="L9" s="24" t="str">
        <x:v>Charger mass, connector spares</x:v>
      </x:c>
      <x:c r="M9" s="24" t="str">
        <x:v>Robotic mate reliability</x:v>
      </x:c>
      <x:c r="N9" s="24" t="str">
        <x:v>Planned</x:v>
      </x:c>
    </x:row>
    <x:row r="10">
      <x:c r="A10" s="24" t="str">
        <x:v>T-07</x:v>
      </x:c>
      <x:c r="B10" s="24" t="str">
        <x:v>Wireless Charging</x:v>
      </x:c>
      <x:c r="C10" s="24" t="str">
        <x:v>Wireless pad contamination/alignment test</x:v>
      </x:c>
      <x:c r="D10" s="24" t="str">
        <x:v>2028 Q1</x:v>
      </x:c>
      <x:c r="E10" s="24" t="str">
        <x:v>2029 Q1</x:v>
      </x:c>
      <x:c r="F10" s="24" t="str">
        <x:v>T-06</x:v>
      </x:c>
      <x:c r="G10" s="24" t="str">
        <x:v>Go/no-go for wireless baseline</x:v>
      </x:c>
      <x:c r="H10" s="24" t="str">
        <x:v>Dust layers + EMI + thermal-vac</x:v>
      </x:c>
      <x:c r="I10" s="64" t="n">
        <x:v>5</x:v>
      </x:c>
      <x:c r="J10" s="64" t="n">
        <x:v>6</x:v>
      </x:c>
      <x:c r="K10" s="24" t="str">
        <x:v>3</x:v>
      </x:c>
      <x:c r="L10" s="24" t="str">
        <x:v>Pad electronics / wear surface</x:v>
      </x:c>
      <x:c r="M10" s="24" t="str">
        <x:v>Efficiency and heat criteria</x:v>
      </x:c>
      <x:c r="N10" s="24" t="str">
        <x:v>Planned</x:v>
      </x:c>
    </x:row>
    <x:row r="11">
      <x:c r="A11" s="24" t="str">
        <x:v>T-08</x:v>
      </x:c>
      <x:c r="B11" s="24" t="str">
        <x:v>Solar Optical</x:v>
      </x:c>
      <x:c r="C11" s="24" t="str">
        <x:v>Concentrator safe-state breadboard</x:v>
      </x:c>
      <x:c r="D11" s="24" t="str">
        <x:v>2028 Q3</x:v>
      </x:c>
      <x:c r="E11" s="24" t="str">
        <x:v>2029 Q4</x:v>
      </x:c>
      <x:c r="F11" s="24" t="str">
        <x:v>T-05</x:v>
      </x:c>
      <x:c r="G11" s="24" t="str">
        <x:v>Tower controller + shutter/defocus demo</x:v>
      </x:c>
      <x:c r="H11" s="24" t="str">
        <x:v>Sun simulator + fault injection</x:v>
      </x:c>
      <x:c r="I11" s="64" t="n">
        <x:v>3</x:v>
      </x:c>
      <x:c r="J11" s="64" t="n">
        <x:v>5</x:v>
      </x:c>
      <x:c r="K11" s="24" t="str">
        <x:v>5–6</x:v>
      </x:c>
      <x:c r="L11" s="24" t="str">
        <x:v>Actuator/reflector mass model</x:v>
      </x:c>
      <x:c r="M11" s="24" t="str">
        <x:v>Loss-of-power safe-state pass</x:v>
      </x:c>
      <x:c r="N11" s="24" t="str">
        <x:v>Planned</x:v>
      </x:c>
    </x:row>
    <x:row r="12">
      <x:c r="A12" s="24" t="str">
        <x:v>T-09</x:v>
      </x:c>
      <x:c r="B12" s="24" t="str">
        <x:v>Integrated Grid</x:v>
      </x:c>
      <x:c r="C12" s="24" t="str">
        <x:v>1 km equivalent feeder + 3-node field demo</x:v>
      </x:c>
      <x:c r="D12" s="24" t="str">
        <x:v>2029 Q1</x:v>
      </x:c>
      <x:c r="E12" s="24" t="str">
        <x:v>2030 Q2</x:v>
      </x:c>
      <x:c r="F12" s="24" t="str">
        <x:v>T-03,T-04,T-05</x:v>
      </x:c>
      <x:c r="G12" s="24" t="str">
        <x:v>Integrated microgrid demo</x:v>
      </x:c>
      <x:c r="H12" s="24" t="str">
        <x:v>Vacuum-relevant / field analog</x:v>
      </x:c>
      <x:c r="I12" s="64" t="n">
        <x:v>5</x:v>
      </x:c>
      <x:c r="J12" s="64" t="n">
        <x:v>6</x:v>
      </x:c>
      <x:c r="K12" s="24" t="str">
        <x:v>3–4</x:v>
      </x:c>
      <x:c r="L12" s="24" t="str">
        <x:v>kg/kW-km, loss, thermal data</x:v>
      </x:c>
      <x:c r="M12" s="24" t="str">
        <x:v>Grid readiness review</x:v>
      </x:c>
      <x:c r="N12" s="24" t="str">
        <x:v>Planned</x:v>
      </x:c>
    </x:row>
    <x:row r="13">
      <x:c r="A13" s="24" t="str">
        <x:v>T-10</x:v>
      </x:c>
      <x:c r="B13" s="24" t="str">
        <x:v>Plant Power</x:v>
      </x:c>
      <x:c r="C13" s="24" t="str">
        <x:v>25–50 m² plant power/optical integration demo</x:v>
      </x:c>
      <x:c r="D13" s="24" t="str">
        <x:v>2030 Q1</x:v>
      </x:c>
      <x:c r="E13" s="24" t="str">
        <x:v>2031 Q2</x:v>
      </x:c>
      <x:c r="F13" s="24" t="str">
        <x:v>T-08,T-09</x:v>
      </x:c>
      <x:c r="G13" s="24" t="str">
        <x:v>Plant Module 01 power package</x:v>
      </x:c>
      <x:c r="H13" s="24" t="str">
        <x:v>Closed-loop grow test</x:v>
      </x:c>
      <x:c r="I13" s="64" t="n">
        <x:v>4</x:v>
      </x:c>
      <x:c r="J13" s="64" t="n">
        <x:v>6</x:v>
      </x:c>
      <x:c r="K13" s="24" t="str">
        <x:v>6</x:v>
      </x:c>
      <x:c r="L13" s="24" t="str">
        <x:v>kWh/kg food-support metric</x:v>
      </x:c>
      <x:c r="M13" s="24" t="str">
        <x:v>Crop uptime / load-shed test</x:v>
      </x:c>
      <x:c r="N13" s="24" t="str">
        <x:v>Planned</x:v>
      </x:c>
    </x:row>
    <x:row r="14">
      <x:c r="A14" s="20" t="str">
        <x:v>T-11</x:v>
      </x:c>
      <x:c r="B14" s="20" t="str">
        <x:v>Thermal / Storage</x:v>
      </x:c>
      <x:c r="C14" s="20" t="str">
        <x:v>Integrated Utility Node warm-core survival test</x:v>
      </x:c>
      <x:c r="D14" s="20" t="str">
        <x:v>2027 Q2</x:v>
      </x:c>
      <x:c r="E14" s="20" t="str">
        <x:v>2028 Q1</x:v>
      </x:c>
      <x:c r="F14" s="20" t="str">
        <x:v>T-02,T-05</x:v>
      </x:c>
      <x:c r="G14" s="20" t="str">
        <x:v>Warm-core thermal recovery and survival test report</x:v>
      </x:c>
      <x:c r="H14" s="20" t="str">
        <x:v>Thermal-vacuum + source-loss + restart + cold-soak boundary testing</x:v>
      </x:c>
      <x:c r="I14" s="20" t="n">
        <x:v>4</x:v>
      </x:c>
      <x:c r="J14" s="20" t="n">
        <x:v>6</x:v>
      </x:c>
      <x:c r="K14" s="20" t="str">
        <x:v>1–2</x:v>
      </x:c>
      <x:c r="L14" s="20" t="str">
        <x:v>heater Wh, recovered heat, insulation mass, radiator area, survival energy</x:v>
      </x:c>
      <x:c r="M14" s="20" t="str">
        <x:v>12–48 h survival / restart criteria</x:v>
      </x:c>
      <x:c r="N14" s="20" t="str">
        <x:v>Planned</x:v>
      </x:c>
    </x:row>
    <x:row r="15">
      <x:c r="A15" s="24" t="str">
        <x:v>T-12</x:v>
      </x:c>
      <x:c r="B15" s="24" t="str">
        <x:v>Crew Survival / CONOPS</x:v>
      </x:c>
      <x:c r="C15" s="24" t="str">
        <x:v>Integrated safe-haven and rescue-endurance demonstration</x:v>
      </x:c>
      <x:c r="D15" s="24" t="str">
        <x:v>2027 Q3</x:v>
      </x:c>
      <x:c r="E15" s="24" t="str">
        <x:v>2028 Q3</x:v>
      </x:c>
      <x:c r="F15" s="24" t="str">
        <x:v>T-02,T-05,T-11</x:v>
      </x:c>
      <x:c r="G15" s="24" t="str">
        <x:v>72–168 h safe-haven energy / controls demonstration</x:v>
      </x:c>
      <x:c r="H15" s="24" t="str">
        <x:v>Hardware-in-loop + thermal-vac + fault injection</x:v>
      </x:c>
      <x:c r="I15" s="24" t="n">
        <x:v>3</x:v>
      </x:c>
      <x:c r="J15" s="24" t="n">
        <x:v>6</x:v>
      </x:c>
      <x:c r="K15" s="24" t="str">
        <x:v>1–3</x:v>
      </x:c>
      <x:c r="L15" s="24" t="str">
        <x:v>survival load, heater Wh, generation margin, ECLSS interface</x:v>
      </x:c>
      <x:c r="M15" s="24" t="str">
        <x:v>24 h battery-only + 168 h mixed-source target</x:v>
      </x:c>
      <x:c r="N15" s="24" t="str">
        <x:v>Planned</x:v>
      </x:c>
    </x:row>
    <x:row r="16">
      <x:c r="A16" t="str">
        <x:v>T-13</x:v>
      </x:c>
      <x:c r="B16" t="str">
        <x:v>C&amp;PNT / Observability</x:v>
      </x:c>
      <x:c r="C16" t="str">
        <x:v>Characterize surface aggregation-node power states and graceful degradation</x:v>
      </x:c>
      <x:c r="D16" t="str">
        <x:v>2026 Q4</x:v>
      </x:c>
      <x:c r="E16" t="str">
        <x:v>2028 Q1</x:v>
      </x:c>
      <x:c r="F16" t="str">
        <x:v>T-01,T-05</x:v>
      </x:c>
      <x:c r="G16" t="str">
        <x:v>C&amp;PNT and observability node power model + HIL demonstration</x:v>
      </x:c>
      <x:c r="H16" t="str">
        <x:v>Thermal-vac + link/PNT emulation + sensor/data backlog + source-loss faults</x:v>
      </x:c>
      <x:c r="I16" t="str">
        <x:v>3</x:v>
      </x:c>
      <x:c r="J16" t="str">
        <x:v>6</x:v>
      </x:c>
      <x:c r="K16" t="str">
        <x:v>1-2</x:v>
      </x:c>
      <x:c r="L16" t="str">
        <x:v>W by service state, Wh/day, thermal load, antenna/clock/compute/storage mass</x:v>
      </x:c>
      <x:c r="M16" t="str">
        <x:v>Tier 0 continuity with Tier 2/3 shedding and restart</x:v>
      </x:c>
      <x:c r="N16" t="str">
        <x:v>Planned</x:v>
      </x:c>
    </x:row>
  </x:sheetData>
  <x:mergeCells>
    <x:mergeCell ref="A1:N1"/>
  </x:mergeCells>
  <x:dataValidations count="1">
    <x:dataValidation type="list" sqref="N4:N13">
      <x:formula1>"Planned,In Work,Blocked,Complete"</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2" hidden="0" customWidth="1"/>
    <x:col min="2" max="2" width="28" hidden="0" customWidth="1"/>
    <x:col min="3" max="3" width="16" hidden="0" customWidth="1"/>
    <x:col min="4" max="4" width="16" hidden="0" customWidth="1"/>
    <x:col min="5" max="5" width="22" hidden="0" customWidth="1"/>
    <x:col min="6" max="6" width="12" hidden="0" customWidth="1"/>
    <x:col min="7" max="7" width="16" hidden="0" customWidth="1"/>
    <x:col min="8" max="8" width="16" hidden="0" customWidth="1"/>
    <x:col min="9" max="9" width="16" hidden="0" customWidth="1"/>
    <x:col min="10" max="10" width="16" hidden="0" customWidth="1"/>
    <x:col min="11" max="11" width="18" hidden="0" customWidth="1"/>
    <x:col min="12" max="12" width="16" hidden="0" customWidth="1"/>
    <x:col min="13" max="13" width="18" hidden="0" customWidth="1"/>
    <x:col min="14" max="14" width="12" hidden="0" customWidth="1"/>
    <x:col min="15" max="15" width="28" hidden="0" customWidth="1"/>
    <x:col min="16" max="16" width="40" hidden="0" customWidth="1"/>
    <x:col min="17" max="17" width="18" hidden="0" customWidth="1"/>
    <x:col min="18" max="18" width="18" hidden="0" customWidth="1"/>
    <x:col min="19" max="19" width="20" hidden="0" customWidth="1"/>
    <x:col min="20" max="20" width="20" hidden="0" customWidth="1"/>
  </x:cols>
  <x:sheetData>
    <x:row r="1" ht="28" customHeight="1">
      <x:c r="A1" s="73" t="str">
        <x:v>Power Conversion &amp; Transformation Layer — Modular DC/DC Architecture</x:v>
      </x:c>
    </x:row>
    <x:row r="3">
      <x:c r="A3" s="78" t="str">
        <x:v>Module ID</x:v>
      </x:c>
      <x:c r="B3" s="78" t="str">
        <x:v>Function</x:v>
      </x:c>
      <x:c r="C3" s="78" t="str">
        <x:v>Trunk Input</x:v>
      </x:c>
      <x:c r="D3" s="78" t="str">
        <x:v>Local Output</x:v>
      </x:c>
      <x:c r="E3" s="78" t="str">
        <x:v>Secondary Output</x:v>
      </x:c>
      <x:c r="F3" s="78" t="str">
        <x:v>Rated kW</x:v>
      </x:c>
      <x:c r="G3" s="78" t="str">
        <x:v>Nominal Efficiency</x:v>
      </x:c>
      <x:c r="H3" s="78" t="str">
        <x:v>Input Current A</x:v>
      </x:c>
      <x:c r="I3" s="78" t="str">
        <x:v>Output Current A</x:v>
      </x:c>
      <x:c r="J3" s="78" t="str">
        <x:v>Waste Heat kW</x:v>
      </x:c>
      <x:c r="K3" s="78" t="str">
        <x:v>Redundancy</x:v>
      </x:c>
      <x:c r="L3" s="78" t="str">
        <x:v>Hot-Swappable?</x:v>
      </x:c>
      <x:c r="M3" s="78" t="str">
        <x:v>Mass Placeholder kg</x:v>
      </x:c>
      <x:c r="N3" s="78" t="str">
        <x:v>kg/kW</x:v>
      </x:c>
      <x:c r="O3" s="78" t="str">
        <x:v>Primary Users</x:v>
      </x:c>
      <x:c r="P3" s="78" t="str">
        <x:v>Design Note</x:v>
      </x:c>
      <x:c r="Q3" s="20" t="str">
        <x:v>Recoverable Heat kW</x:v>
      </x:c>
      <x:c r="R3" s="20" t="str">
        <x:v>Warm-Core Demand kW</x:v>
      </x:c>
      <x:c r="S3" s="20" t="str">
        <x:v>Supplemental Heater kW</x:v>
      </x:c>
      <x:c r="T3" s="20" t="str">
        <x:v>Net Heat to Reject kW</x:v>
      </x:c>
    </x:row>
    <x:row r="4">
      <x:c r="A4" s="24" t="str">
        <x:v>PC-05</x:v>
      </x:c>
      <x:c r="B4" s="24" t="str">
        <x:v>Standard converter brick</x:v>
      </x:c>
      <x:c r="C4" s="24" t="str">
        <x:v>HVDC TBD</x:v>
      </x:c>
      <x:c r="D4" s="24" t="str">
        <x:v>120 VDC</x:v>
      </x:c>
      <x:c r="E4" s="24" t="str">
        <x:v>48/28 VDC downstream</x:v>
      </x:c>
      <x:c r="F4" s="26" t="n">
        <x:v>5</x:v>
      </x:c>
      <x:c r="G4" s="26" t="n">
        <x:v>0.95</x:v>
      </x:c>
      <x:c r="H4" s="26" t="n">
        <x:f>F4*1000/$B$10</x:f>
        <x:v>5</x:v>
      </x:c>
      <x:c r="I4" s="26" t="n">
        <x:f>F4*1000/$B$11</x:f>
        <x:v>41.666666666666664</x:v>
      </x:c>
      <x:c r="J4" s="26" t="n">
        <x:f>F4*(1/G4)-F4</x:f>
        <x:v>0.2631578947368416</x:v>
      </x:c>
      <x:c r="K4" s="26" t="str">
        <x:v>N+1 where critical</x:v>
      </x:c>
      <x:c r="L4" s="26" t="str">
        <x:v>Yes</x:v>
      </x:c>
      <x:c r="M4" s="26" t="n">
        <x:v>35</x:v>
      </x:c>
      <x:c r="N4" s="26" t="n">
        <x:f>M4/F4</x:f>
        <x:v>7</x:v>
      </x:c>
      <x:c r="O4" s="24" t="str">
        <x:v>Science, comms, small service loads</x:v>
      </x:c>
      <x:c r="P4" s="24" t="str">
        <x:v>Baseline common module; parallel for larger loads</x:v>
      </x:c>
      <x:c r="Q4" s="34" t="n">
        <x:f>J4*0.5</x:f>
        <x:v>0.1315789473684208</x:v>
      </x:c>
      <x:c r="R4" s="34" t="n">
        <x:f>Assumptions!$B$23</x:f>
        <x:v>0.75</x:v>
      </x:c>
      <x:c r="S4" s="34" t="n">
        <x:f>MAX(R4-Q4,0)</x:f>
        <x:v>0.6184210526315792</x:v>
      </x:c>
      <x:c r="T4" s="34" t="n">
        <x:f>MAX(J4-R4,0)</x:f>
        <x:v>0</x:v>
      </x:c>
    </x:row>
    <x:row r="5">
      <x:c r="A5" s="24" t="str">
        <x:v>PC-10</x:v>
      </x:c>
      <x:c r="B5" s="24" t="str">
        <x:v>Dual-brick assembly</x:v>
      </x:c>
      <x:c r="C5" s="24" t="str">
        <x:v>HVDC TBD</x:v>
      </x:c>
      <x:c r="D5" s="24" t="str">
        <x:v>120 VDC</x:v>
      </x:c>
      <x:c r="E5" s="24" t="str">
        <x:v>48/28 VDC downstream</x:v>
      </x:c>
      <x:c r="F5" s="26" t="n">
        <x:v>10</x:v>
      </x:c>
      <x:c r="G5" s="26" t="n">
        <x:v>0.95</x:v>
      </x:c>
      <x:c r="H5" s="26" t="n">
        <x:f>F5*1000/$B$10</x:f>
        <x:v>10</x:v>
      </x:c>
      <x:c r="I5" s="26" t="n">
        <x:f>F5*1000/$B$11</x:f>
        <x:v>83.33333333333333</x:v>
      </x:c>
      <x:c r="J5" s="26" t="n">
        <x:f>F5*(1/G5)-F5</x:f>
        <x:v>0.5263157894736832</x:v>
      </x:c>
      <x:c r="K5" s="26" t="str">
        <x:v>1+1 or 2 active</x:v>
      </x:c>
      <x:c r="L5" s="26" t="str">
        <x:v>Yes</x:v>
      </x:c>
      <x:c r="M5" s="26" t="n">
        <x:v>75</x:v>
      </x:c>
      <x:c r="N5" s="26" t="n">
        <x:f>M5/F5</x:f>
        <x:v>7.5</x:v>
      </x:c>
      <x:c r="O5" s="24" t="str">
        <x:v>Rover service, plant support</x:v>
      </x:c>
      <x:c r="P5" s="24" t="str">
        <x:v>Two standard bricks plus common control/cooling</x:v>
      </x:c>
      <x:c r="Q5" s="34" t="n">
        <x:f>J5*0.5</x:f>
        <x:v>0.2631578947368416</x:v>
      </x:c>
      <x:c r="R5" s="34" t="n">
        <x:f>Assumptions!$B$23</x:f>
        <x:v>0.75</x:v>
      </x:c>
      <x:c r="S5" s="34" t="n">
        <x:f>MAX(R5-Q5,0)</x:f>
        <x:v>0.4868421052631584</x:v>
      </x:c>
      <x:c r="T5" s="34" t="n">
        <x:f>MAX(J5-R5,0)</x:f>
        <x:v>0</x:v>
      </x:c>
    </x:row>
    <x:row r="6">
      <x:c r="A6" s="24" t="str">
        <x:v>PC-20</x:v>
      </x:c>
      <x:c r="B6" s="24" t="str">
        <x:v>Four-brick assembly</x:v>
      </x:c>
      <x:c r="C6" s="24" t="str">
        <x:v>HVDC TBD</x:v>
      </x:c>
      <x:c r="D6" s="24" t="str">
        <x:v>120 VDC</x:v>
      </x:c>
      <x:c r="E6" s="24" t="str">
        <x:v>48/28 VDC downstream</x:v>
      </x:c>
      <x:c r="F6" s="26" t="n">
        <x:v>20</x:v>
      </x:c>
      <x:c r="G6" s="26" t="n">
        <x:v>0.95</x:v>
      </x:c>
      <x:c r="H6" s="26" t="n">
        <x:f>F6*1000/$B$10</x:f>
        <x:v>20</x:v>
      </x:c>
      <x:c r="I6" s="26" t="n">
        <x:f>F6*1000/$B$11</x:f>
        <x:v>166.66666666666666</x:v>
      </x:c>
      <x:c r="J6" s="26" t="n">
        <x:f>F6*(1/G6)-F6</x:f>
        <x:v>1.0526315789473664</x:v>
      </x:c>
      <x:c r="K6" s="26" t="str">
        <x:v>N+1 preferred</x:v>
      </x:c>
      <x:c r="L6" s="26" t="str">
        <x:v>Yes</x:v>
      </x:c>
      <x:c r="M6" s="26" t="n">
        <x:v>150</x:v>
      </x:c>
      <x:c r="N6" s="26" t="n">
        <x:f>M6/F6</x:f>
        <x:v>7.5</x:v>
      </x:c>
      <x:c r="O6" s="24" t="str">
        <x:v>Habitat, plant, mobility node</x:v>
      </x:c>
      <x:c r="P6" s="24" t="str">
        <x:v>Use common power modules rather than unique converter</x:v>
      </x:c>
      <x:c r="Q6" s="34" t="n">
        <x:f>J6*0.5</x:f>
        <x:v>0.5263157894736832</x:v>
      </x:c>
      <x:c r="R6" s="34" t="n">
        <x:f>Assumptions!$B$23</x:f>
        <x:v>0.75</x:v>
      </x:c>
      <x:c r="S6" s="34" t="n">
        <x:f>MAX(R6-Q6,0)</x:f>
        <x:v>0.22368421052631682</x:v>
      </x:c>
      <x:c r="T6" s="34" t="n">
        <x:f>MAX(J6-R6,0)</x:f>
        <x:v>0.30263157894736636</x:v>
      </x:c>
    </x:row>
    <x:row r="7">
      <x:c r="A7" s="24" t="str">
        <x:v>PC-40</x:v>
      </x:c>
      <x:c r="B7" s="24" t="str">
        <x:v>High-load node assembly</x:v>
      </x:c>
      <x:c r="C7" s="24" t="str">
        <x:v>HVDC TBD</x:v>
      </x:c>
      <x:c r="D7" s="24" t="str">
        <x:v>120 VDC</x:v>
      </x:c>
      <x:c r="E7" s="24" t="str">
        <x:v>48/28 VDC downstream</x:v>
      </x:c>
      <x:c r="F7" s="26" t="n">
        <x:v>40</x:v>
      </x:c>
      <x:c r="G7" s="26" t="n">
        <x:v>0.95</x:v>
      </x:c>
      <x:c r="H7" s="26" t="n">
        <x:f>F7*1000/$B$10</x:f>
        <x:v>40</x:v>
      </x:c>
      <x:c r="I7" s="26" t="n">
        <x:f>F7*1000/$B$11</x:f>
        <x:v>333.3333333333333</x:v>
      </x:c>
      <x:c r="J7" s="26" t="n">
        <x:f>F7*(1/G7)-F7</x:f>
        <x:v>2.1052631578947327</x:v>
      </x:c>
      <x:c r="K7" s="26" t="str">
        <x:v>N+1 mandatory for crew critical</x:v>
      </x:c>
      <x:c r="L7" s="26" t="str">
        <x:v>Yes</x:v>
      </x:c>
      <x:c r="M7" s="26" t="n">
        <x:v>300</x:v>
      </x:c>
      <x:c r="N7" s="26" t="n">
        <x:f>M7/F7</x:f>
        <x:v>7.5</x:v>
      </x:c>
      <x:c r="O7" s="24" t="str">
        <x:v>Habitat cluster / industrial</x:v>
      </x:c>
      <x:c r="P7" s="24" t="str">
        <x:v>Parallel modular architecture; avoid single-point converter failure</x:v>
      </x:c>
      <x:c r="Q7" s="34" t="n">
        <x:f>J7*0.5</x:f>
        <x:v>1.0526315789473664</x:v>
      </x:c>
      <x:c r="R7" s="34" t="n">
        <x:f>Assumptions!$B$23</x:f>
        <x:v>0.75</x:v>
      </x:c>
      <x:c r="S7" s="34" t="n">
        <x:f>MAX(R7-Q7,0)</x:f>
        <x:v>0</x:v>
      </x:c>
      <x:c r="T7" s="34" t="n">
        <x:f>MAX(J7-R7,0)</x:f>
        <x:v>1.3552631578947327</x:v>
      </x:c>
    </x:row>
    <x:row r="9">
      <x:c r="A9" s="78" t="str">
        <x:v>Trade Input</x:v>
      </x:c>
      <x:c r="B9" s="78" t="str">
        <x:v>Value</x:v>
      </x:c>
      <x:c r="C9" s="78" t="str">
        <x:v>Units</x:v>
      </x:c>
      <x:c r="D9" s="78" t="str">
        <x:v>Note</x:v>
      </x:c>
    </x:row>
    <x:row r="10">
      <x:c r="A10" s="24" t="str">
        <x:v>Illustrative trunk voltage</x:v>
      </x:c>
      <x:c r="B10" s="24" t="n">
        <x:v>1000</x:v>
      </x:c>
      <x:c r="C10" s="24" t="str">
        <x:v>VDC</x:v>
      </x:c>
      <x:c r="D10" s="24" t="str">
        <x:v>Trade variable; do not freeze yet</x:v>
      </x:c>
    </x:row>
    <x:row r="11">
      <x:c r="A11" s="24" t="str">
        <x:v>Local bus voltage</x:v>
      </x:c>
      <x:c r="B11" s="24" t="n">
        <x:v>120</x:v>
      </x:c>
      <x:c r="C11" s="24" t="str">
        <x:v>VDC</x:v>
      </x:c>
      <x:c r="D11" s="24" t="str">
        <x:v>NASA-aligned local exchange level</x:v>
      </x:c>
    </x:row>
    <x:row r="12">
      <x:c r="A12" s="24" t="str">
        <x:v>Secondary bus A</x:v>
      </x:c>
      <x:c r="B12" s="24" t="n">
        <x:v>48</x:v>
      </x:c>
      <x:c r="C12" s="24" t="str">
        <x:v>VDC</x:v>
      </x:c>
      <x:c r="D12" s="24" t="str">
        <x:v>Rovers, controls, intermediate loads</x:v>
      </x:c>
    </x:row>
    <x:row r="13">
      <x:c r="A13" s="24" t="str">
        <x:v>Secondary bus B</x:v>
      </x:c>
      <x:c r="B13" s="24" t="n">
        <x:v>28</x:v>
      </x:c>
      <x:c r="C13" s="24" t="str">
        <x:v>VDC</x:v>
      </x:c>
      <x:c r="D13" s="24" t="str">
        <x:v>Avionics/instrumentation heritage loads</x:v>
      </x:c>
    </x:row>
    <x:row r="15">
      <x:c r="F15" s="78" t="str">
        <x:v>Node Sizing Example</x:v>
      </x:c>
      <x:c r="G15" s="78" t="str">
        <x:v>Critical Load kW</x:v>
      </x:c>
      <x:c r="H15" s="78" t="str">
        <x:v>Required Capacity kW</x:v>
      </x:c>
      <x:c r="I15" s="78" t="str">
        <x:v>Module Size kW</x:v>
      </x:c>
      <x:c r="J15" s="78" t="str">
        <x:v>Modules Active</x:v>
      </x:c>
      <x:c r="K15" s="78" t="str">
        <x:v>N+1 Spare</x:v>
      </x:c>
      <x:c r="L15" s="78" t="str">
        <x:v>Installed Modules</x:v>
      </x:c>
      <x:c r="M15" s="78" t="str">
        <x:v>Installed Capacity kW</x:v>
      </x:c>
      <x:c r="N15" s="78" t="str">
        <x:v>Converter Loss kW</x:v>
      </x:c>
      <x:c r="O15" s="78" t="str">
        <x:v>Thermal Design kW</x:v>
      </x:c>
      <x:c r="P15" s="78" t="str">
        <x:v>Comment</x:v>
      </x:c>
    </x:row>
    <x:row r="16">
      <x:c r="F16" s="24" t="str">
        <x:v>Small service node</x:v>
      </x:c>
      <x:c r="G16" s="26" t="n">
        <x:v>6</x:v>
      </x:c>
      <x:c r="H16" s="26" t="n">
        <x:v>8</x:v>
      </x:c>
      <x:c r="I16" s="26" t="n">
        <x:v>5</x:v>
      </x:c>
      <x:c r="J16" s="26" t="n">
        <x:v>2</x:v>
      </x:c>
      <x:c r="K16" s="26" t="n">
        <x:v>1</x:v>
      </x:c>
      <x:c r="L16" s="26" t="n">
        <x:f>J16+K16</x:f>
        <x:v>3</x:v>
      </x:c>
      <x:c r="M16" s="26" t="n">
        <x:f>L16*I16</x:f>
        <x:v>15</x:v>
      </x:c>
      <x:c r="N16" s="26" t="n">
        <x:f>M16*(1/0.95)-M16</x:f>
        <x:v>0.7894736842105257</x:v>
      </x:c>
      <x:c r="O16" s="26" t="n">
        <x:f>N16*1.25</x:f>
        <x:v>0.9868421052631571</x:v>
      </x:c>
      <x:c r="P16" s="24" t="str">
        <x:v>Three 5 kW bricks = 10 kW active + 5 kW spare</x:v>
      </x:c>
    </x:row>
    <x:row r="17">
      <x:c r="F17" s="24" t="str">
        <x:v>Plant/science node</x:v>
      </x:c>
      <x:c r="G17" s="26" t="n">
        <x:v>12</x:v>
      </x:c>
      <x:c r="H17" s="26" t="n">
        <x:v>15</x:v>
      </x:c>
      <x:c r="I17" s="26" t="n">
        <x:v>5</x:v>
      </x:c>
      <x:c r="J17" s="26" t="n">
        <x:v>3</x:v>
      </x:c>
      <x:c r="K17" s="26" t="n">
        <x:v>1</x:v>
      </x:c>
      <x:c r="L17" s="26" t="n">
        <x:f>J17+K17</x:f>
        <x:v>4</x:v>
      </x:c>
      <x:c r="M17" s="26" t="n">
        <x:f>L17*I17</x:f>
        <x:v>20</x:v>
      </x:c>
      <x:c r="N17" s="26" t="n">
        <x:f>M17*(1/0.95)-M17</x:f>
        <x:v>1.0526315789473664</x:v>
      </x:c>
      <x:c r="O17" s="26" t="n">
        <x:f>N17*1.25</x:f>
        <x:v>1.315789473684208</x:v>
      </x:c>
      <x:c r="P17" s="24" t="str">
        <x:v>Four 5 kW bricks; lighting can be load-shed</x:v>
      </x:c>
    </x:row>
    <x:row r="18">
      <x:c r="F18" s="24" t="str">
        <x:v>Habitat node</x:v>
      </x:c>
      <x:c r="G18" s="26" t="n">
        <x:v>20</x:v>
      </x:c>
      <x:c r="H18" s="26" t="n">
        <x:v>25</x:v>
      </x:c>
      <x:c r="I18" s="26" t="n">
        <x:v>5</x:v>
      </x:c>
      <x:c r="J18" s="26" t="n">
        <x:v>5</x:v>
      </x:c>
      <x:c r="K18" s="26" t="n">
        <x:v>1</x:v>
      </x:c>
      <x:c r="L18" s="26" t="n">
        <x:f>J18+K18</x:f>
        <x:v>6</x:v>
      </x:c>
      <x:c r="M18" s="26" t="n">
        <x:f>L18*I18</x:f>
        <x:v>30</x:v>
      </x:c>
      <x:c r="N18" s="26" t="n">
        <x:f>M18*(1/0.95)-M18</x:f>
        <x:v>1.5789473684210513</x:v>
      </x:c>
      <x:c r="O18" s="26" t="n">
        <x:f>N18*1.25</x:f>
        <x:v>1.9736842105263142</x:v>
      </x:c>
      <x:c r="P18" s="24" t="str">
        <x:v>Six 5 kW bricks; supports one failed brick</x:v>
      </x:c>
    </x:row>
    <x:row r="19">
      <x:c r="F19" s="24" t="str">
        <x:v>Industrial node</x:v>
      </x:c>
      <x:c r="G19" s="26" t="n">
        <x:v>30</x:v>
      </x:c>
      <x:c r="H19" s="26" t="n">
        <x:v>35</x:v>
      </x:c>
      <x:c r="I19" s="26" t="n">
        <x:v>5</x:v>
      </x:c>
      <x:c r="J19" s="26" t="n">
        <x:v>7</x:v>
      </x:c>
      <x:c r="K19" s="26" t="n">
        <x:v>1</x:v>
      </x:c>
      <x:c r="L19" s="26" t="n">
        <x:f>J19+K19</x:f>
        <x:v>8</x:v>
      </x:c>
      <x:c r="M19" s="26" t="n">
        <x:f>L19*I19</x:f>
        <x:v>40</x:v>
      </x:c>
      <x:c r="N19" s="26" t="n">
        <x:f>M19*(1/0.95)-M19</x:f>
        <x:v>2.1052631578947327</x:v>
      </x:c>
      <x:c r="O19" s="26" t="n">
        <x:f>N19*1.25</x:f>
        <x:v>2.631578947368416</x:v>
      </x:c>
      <x:c r="P19" s="24" t="str">
        <x:v>Eight 5 kW bricks; schedule discretionary loads</x:v>
      </x:c>
    </x:row>
    <x:row r="21">
      <x:c r="A21" s="78" t="str">
        <x:v>Architecture rule</x:v>
      </x:c>
      <x:c r="B21" s="78" t="str"/>
      <x:c r="C21" s="78" t="str"/>
      <x:c r="D21" s="78" t="str"/>
      <x:c r="E21" s="78" t="str"/>
      <x:c r="F21" s="78" t="str"/>
      <x:c r="G21" s="78" t="str"/>
      <x:c r="H21" s="78" t="str"/>
      <x:c r="I21" s="78" t="str"/>
      <x:c r="J21" s="78" t="str"/>
      <x:c r="K21" s="78" t="str"/>
      <x:c r="L21" s="78" t="str"/>
      <x:c r="M21" s="78" t="str"/>
      <x:c r="N21" s="78" t="str"/>
      <x:c r="O21" s="78" t="str"/>
      <x:c r="P21" s="78" t="str"/>
    </x:row>
    <x:row r="22">
      <x:c r="A22" s="24" t="str">
        <x:v>High-voltage trunk feeds isolated modular DC/DC conversion at each utility node; conversion occurs near the load rather than at one central station.</x:v>
      </x:c>
      <x:c r="B22" s="24"/>
      <x:c r="C22" s="24"/>
      <x:c r="D22" s="24"/>
      <x:c r="E22" s="24"/>
      <x:c r="F22" s="24"/>
      <x:c r="G22" s="24"/>
      <x:c r="H22" s="24"/>
      <x:c r="I22" s="24"/>
      <x:c r="J22" s="24"/>
      <x:c r="K22" s="24"/>
      <x:c r="L22" s="24"/>
      <x:c r="M22" s="24"/>
      <x:c r="N22" s="24"/>
      <x:c r="O22" s="24"/>
      <x:c r="P22" s="24"/>
    </x:row>
    <x:row r="23">
      <x:c r="A23" s="24" t="str">
        <x:v>Standardize the converter brick family so one spare can restore multiple node types; larger nodes gain capacity by paralleling identical modules.</x:v>
      </x:c>
      <x:c r="B23" s="24"/>
      <x:c r="C23" s="24"/>
      <x:c r="D23" s="24"/>
      <x:c r="E23" s="24"/>
      <x:c r="F23" s="24"/>
      <x:c r="G23" s="24"/>
      <x:c r="H23" s="24"/>
      <x:c r="I23" s="24"/>
      <x:c r="J23" s="24"/>
      <x:c r="K23" s="24"/>
      <x:c r="L23" s="24"/>
      <x:c r="M23" s="24"/>
      <x:c r="N23" s="24"/>
      <x:c r="O23" s="24"/>
      <x:c r="P23" s="24"/>
    </x:row>
    <x:row r="24">
      <x:c r="A24" s="24" t="str">
        <x:v>Crew-critical nodes should retain N+1 conversion capability and a bypass / isolation path so one failed converter does not collapse the local bus.</x:v>
      </x:c>
      <x:c r="B24" s="24"/>
      <x:c r="C24" s="24"/>
      <x:c r="D24" s="24"/>
      <x:c r="E24" s="24"/>
      <x:c r="F24" s="24"/>
      <x:c r="G24" s="24"/>
      <x:c r="H24" s="24"/>
      <x:c r="I24" s="24"/>
      <x:c r="J24" s="24"/>
      <x:c r="K24" s="24"/>
      <x:c r="L24" s="24"/>
      <x:c r="M24" s="24"/>
      <x:c r="N24" s="24"/>
      <x:c r="O24" s="24"/>
      <x:c r="P24" s="24"/>
    </x:row>
    <x:row r="25">
      <x:c r="A25" s="24" t="str">
        <x:v>Conversion efficiency is a thermal problem as well as an electrical problem: 20 kW delivered at 95% efficiency produces roughly 1.05 kW of local converter waste heat.</x:v>
      </x:c>
      <x:c r="B25" s="24"/>
      <x:c r="C25" s="24"/>
      <x:c r="D25" s="24"/>
      <x:c r="E25" s="24"/>
      <x:c r="F25" s="24"/>
      <x:c r="G25" s="24"/>
      <x:c r="H25" s="24"/>
      <x:c r="I25" s="24"/>
      <x:c r="J25" s="24"/>
      <x:c r="K25" s="24"/>
      <x:c r="L25" s="24"/>
      <x:c r="M25" s="24"/>
      <x:c r="N25" s="24"/>
      <x:c r="O25" s="24"/>
      <x:c r="P25" s="24"/>
    </x:row>
    <x:row r="26">
      <x:c r="A26" s="24" t="str">
        <x:v>Primary trade metrics: kg/kW conversion, efficiency vs load, waste heat per node, spare commonality, radiation tolerance, and fault-isolation behavior.</x:v>
      </x:c>
      <x:c r="B26" s="24"/>
      <x:c r="C26" s="24"/>
      <x:c r="D26" s="24"/>
      <x:c r="E26" s="24"/>
      <x:c r="F26" s="24"/>
      <x:c r="G26" s="24"/>
      <x:c r="H26" s="24"/>
      <x:c r="I26" s="24"/>
      <x:c r="J26" s="24"/>
      <x:c r="K26" s="24"/>
      <x:c r="L26" s="24"/>
      <x:c r="M26" s="24"/>
      <x:c r="N26" s="24"/>
      <x:c r="O26" s="24"/>
      <x:c r="P26" s="24"/>
    </x:row>
    <x:row r="28">
      <x:c r="A28" s="20" t="str">
        <x:v>Thermal-survival operating rule</x:v>
      </x:c>
      <x:c r="B28" s="20" t="str"/>
      <x:c r="C28" s="20" t="str"/>
      <x:c r="D28" s="20" t="str"/>
      <x:c r="E28" s="20" t="str"/>
      <x:c r="F28" s="20" t="str"/>
      <x:c r="G28" s="20" t="str"/>
      <x:c r="H28" s="20" t="str"/>
      <x:c r="I28" s="20" t="str"/>
      <x:c r="J28" s="20" t="str"/>
      <x:c r="K28" s="20" t="str"/>
      <x:c r="L28" s="20" t="str"/>
      <x:c r="M28" s="20" t="str"/>
      <x:c r="N28" s="20" t="str"/>
      <x:c r="O28" s="20" t="str"/>
      <x:c r="P28" s="20" t="str"/>
    </x:row>
    <x:row r="29">
      <x:c r="A29" s="20" t="str">
        <x:v>During normal powered operation, route useful converter/PMAD waste heat to the insulated warm core before rejecting the remainder to the radiator.</x:v>
      </x:c>
      <x:c r="B29" s="20"/>
      <x:c r="C29" s="20"/>
      <x:c r="D29" s="20"/>
      <x:c r="E29" s="20"/>
      <x:c r="F29" s="20"/>
      <x:c r="G29" s="20"/>
      <x:c r="H29" s="20"/>
      <x:c r="I29" s="20"/>
      <x:c r="J29" s="20"/>
      <x:c r="K29" s="20"/>
      <x:c r="L29" s="20"/>
      <x:c r="M29" s="20"/>
      <x:c r="N29" s="20"/>
      <x:c r="O29" s="20"/>
      <x:c r="P29" s="20"/>
    </x:row>
    <x:row r="30">
      <x:c r="A30" s="20" t="str">
        <x:v>During generation loss, assume the warm core requires its full dedicated survival load; do not count converter waste heat as assured energy in battery-autonomy sizing.</x:v>
      </x:c>
      <x:c r="B30" s="20"/>
      <x:c r="C30" s="20"/>
      <x:c r="D30" s="20"/>
      <x:c r="E30" s="20"/>
      <x:c r="F30" s="20"/>
      <x:c r="G30" s="20"/>
      <x:c r="H30" s="20"/>
      <x:c r="I30" s="20"/>
      <x:c r="J30" s="20"/>
      <x:c r="K30" s="20"/>
      <x:c r="L30" s="20"/>
      <x:c r="M30" s="20"/>
      <x:c r="N30" s="20"/>
      <x:c r="O30" s="20"/>
      <x:c r="P30" s="20"/>
    </x:row>
    <x:row r="31">
      <x:c r="A31" s="20" t="str">
        <x:v>The thermal-control system therefore needs controllable heat-routing/bypass paths: warm-core recovery when cold, radiator rejection when warm, and electric survival heating when generation is unavailable.</x:v>
      </x:c>
      <x:c r="B31" s="20"/>
      <x:c r="C31" s="20"/>
      <x:c r="D31" s="20"/>
      <x:c r="E31" s="20"/>
      <x:c r="F31" s="20"/>
      <x:c r="G31" s="20"/>
      <x:c r="H31" s="20"/>
      <x:c r="I31" s="20"/>
      <x:c r="J31" s="20"/>
      <x:c r="K31" s="20"/>
      <x:c r="L31" s="20"/>
      <x:c r="M31" s="20"/>
      <x:c r="N31" s="20"/>
      <x:c r="O31" s="20"/>
      <x:c r="P31" s="20"/>
    </x:row>
  </x:sheetData>
  <x:mergeCells>
    <x:mergeCell ref="A1:P1"/>
    <x:mergeCell ref="A22:P22"/>
    <x:mergeCell ref="A23:P23"/>
    <x:mergeCell ref="A24:P24"/>
    <x:mergeCell ref="A25:P25"/>
    <x:mergeCell ref="A26:P26"/>
    <x:mergeCell ref="A29:P29"/>
    <x:mergeCell ref="A30:P30"/>
    <x:mergeCell ref="A31:P31"/>
  </x:mergeCells>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16" hidden="0" customWidth="1"/>
    <x:col min="3" max="3" width="18" hidden="0" customWidth="1"/>
    <x:col min="4" max="4" width="16" hidden="0" customWidth="1"/>
    <x:col min="5" max="5" width="18" hidden="0" customWidth="1"/>
    <x:col min="6" max="6" width="18" hidden="0" customWidth="1"/>
    <x:col min="7" max="7" width="16" hidden="0" customWidth="1"/>
    <x:col min="8" max="8" width="22" hidden="0" customWidth="1"/>
    <x:col min="9" max="9" width="46" hidden="0" customWidth="1"/>
  </x:cols>
  <x:sheetData>
    <x:row r="1" ht="28" customHeight="1">
      <x:c r="A1" s="82" t="str">
        <x:v>Operating-State Power Architecture</x:v>
      </x:c>
    </x:row>
    <x:row r="3">
      <x:c r="A3" s="87" t="str">
        <x:v>Subsystem</x:v>
      </x:c>
      <x:c r="B3" s="87" t="str">
        <x:v>Nominal 6 Crew</x:v>
      </x:c>
      <x:c r="C3" s="87" t="str">
        <x:v>Handover 12 Crew</x:v>
      </x:c>
      <x:c r="D3" s="87" t="str">
        <x:v>Crewed Survival</x:v>
      </x:c>
      <x:c r="E3" s="87" t="str">
        <x:v>Emergency Refuge</x:v>
      </x:c>
      <x:c r="F3" s="87" t="str">
        <x:v>Uncrewed Survival</x:v>
      </x:c>
      <x:c r="G3" s="87" t="str">
        <x:v>Deep Hibernation</x:v>
      </x:c>
      <x:c r="H3" s="87" t="str">
        <x:v>Priority / Rule</x:v>
      </x:c>
      <x:c r="I3" s="87" t="str">
        <x:v>Notes</x:v>
      </x:c>
    </x:row>
    <x:row r="4">
      <x:c r="A4" s="24" t="str">
        <x:v>Habitation + ECLSS</x:v>
      </x:c>
      <x:c r="B4" s="26" t="n">
        <x:v>4.6</x:v>
      </x:c>
      <x:c r="C4" s="26" t="n">
        <x:v>6.4</x:v>
      </x:c>
      <x:c r="D4" s="26" t="n">
        <x:v>4.6</x:v>
      </x:c>
      <x:c r="E4" s="26" t="n">
        <x:v>2.6</x:v>
      </x:c>
      <x:c r="F4" s="26" t="n">
        <x:v>0.25</x:v>
      </x:c>
      <x:c r="G4" s="26" t="n">
        <x:v>0.05</x:v>
      </x:c>
      <x:c r="H4" s="24" t="str">
        <x:v>Life critical</x:v>
      </x:c>
      <x:c r="I4" s="24" t="str">
        <x:v>Refuge assumes reduced protected volume rather than full habitat</x:v>
      </x:c>
    </x:row>
    <x:row r="5">
      <x:c r="A5" s="24" t="str">
        <x:v>Thermal Control</x:v>
      </x:c>
      <x:c r="B5" s="26" t="n">
        <x:v>1.8</x:v>
      </x:c>
      <x:c r="C5" s="26" t="n">
        <x:v>2.4</x:v>
      </x:c>
      <x:c r="D5" s="26" t="n">
        <x:v>1.8</x:v>
      </x:c>
      <x:c r="E5" s="26" t="n">
        <x:v>0.9</x:v>
      </x:c>
      <x:c r="F5" s="26" t="n">
        <x:v>0.6</x:v>
      </x:c>
      <x:c r="G5" s="26" t="n">
        <x:v>0.25</x:v>
      </x:c>
      <x:c r="H5" s="24" t="str">
        <x:v>Life critical</x:v>
      </x:c>
      <x:c r="I5" s="24" t="str">
        <x:v>Includes habitat/refuge thermal loop, not Utility Node warm-core heater</x:v>
      </x:c>
    </x:row>
    <x:row r="6">
      <x:c r="A6" s="24" t="str">
        <x:v>Command / LTC / PNT Core</x:v>
      </x:c>
      <x:c r="B6" s="26" t="n">
        <x:v>0.45</x:v>
      </x:c>
      <x:c r="C6" s="26" t="n">
        <x:v>0.5</x:v>
      </x:c>
      <x:c r="D6" s="26" t="n">
        <x:v>0.45</x:v>
      </x:c>
      <x:c r="E6" s="26" t="n">
        <x:v>0.2</x:v>
      </x:c>
      <x:c r="F6" s="26" t="n">
        <x:v>0.15</x:v>
      </x:c>
      <x:c r="G6" s="26" t="n">
        <x:v>0.1</x:v>
      </x:c>
      <x:c r="H6" s="24" t="str">
        <x:v>Tier 0 - never shed</x:v>
      </x:c>
      <x:c r="I6" s="24" t="str">
        <x:v>Command, reference time, core navigation and state awareness</x:v>
      </x:c>
    </x:row>
    <x:row r="7">
      <x:c r="A7" s="24" t="str">
        <x:v>Surface C&amp;PNT Safety Node</x:v>
      </x:c>
      <x:c r="B7" s="26" t="n">
        <x:v>0.55</x:v>
      </x:c>
      <x:c r="C7" s="26" t="n">
        <x:v>0.65</x:v>
      </x:c>
      <x:c r="D7" s="26" t="n">
        <x:v>0.55</x:v>
      </x:c>
      <x:c r="E7" s="26" t="n">
        <x:v>0.35</x:v>
      </x:c>
      <x:c r="F7" s="26" t="n">
        <x:v>0.2</x:v>
      </x:c>
      <x:c r="G7" s="26" t="n">
        <x:v>0.1</x:v>
      </x:c>
      <x:c r="H7" s="24" t="str">
        <x:v>Tier 0/1 - protect</x:v>
      </x:c>
      <x:c r="I7" s="24" t="str">
        <x:v>Emergency low-rate link, tracking, radiation alerts and relay/DWE access</x:v>
      </x:c>
    </x:row>
    <x:row r="8">
      <x:c r="A8" s="24" t="str">
        <x:v>Lighting / Medical / Internal Utility</x:v>
      </x:c>
      <x:c r="B8" s="26" t="n">
        <x:v>0.7</x:v>
      </x:c>
      <x:c r="C8" s="26" t="n">
        <x:v>1</x:v>
      </x:c>
      <x:c r="D8" s="26" t="n">
        <x:v>0</x:v>
      </x:c>
      <x:c r="E8" s="26" t="n">
        <x:v>0.25</x:v>
      </x:c>
      <x:c r="F8" s="26" t="n">
        <x:v>0</x:v>
      </x:c>
      <x:c r="G8" s="26" t="n">
        <x:v>0</x:v>
      </x:c>
      <x:c r="H8" s="24" t="str">
        <x:v>Essential in refuge</x:v>
      </x:c>
      <x:c r="I8" s="24" t="str">
        <x:v>Only minimum task/medical lighting in refuge</x:v>
      </x:c>
    </x:row>
    <x:row r="9">
      <x:c r="A9" s="24" t="str">
        <x:v>Galley / Hygiene</x:v>
      </x:c>
      <x:c r="B9" s="26" t="n">
        <x:v>0.65</x:v>
      </x:c>
      <x:c r="C9" s="26" t="n">
        <x:v>1.4</x:v>
      </x:c>
      <x:c r="D9" s="26" t="n">
        <x:v>0</x:v>
      </x:c>
      <x:c r="E9" s="26" t="n">
        <x:v>0</x:v>
      </x:c>
      <x:c r="F9" s="26" t="n">
        <x:v>0</x:v>
      </x:c>
      <x:c r="G9" s="26" t="n">
        <x:v>0</x:v>
      </x:c>
      <x:c r="H9" s="24" t="str">
        <x:v>Shed</x:v>
      </x:c>
      <x:c r="I9" s="24" t="str">
        <x:v>Emergency food/water treated as stored consumables</x:v>
      </x:c>
    </x:row>
    <x:row r="10">
      <x:c r="A10" s="24" t="str">
        <x:v>Science / Laboratory</x:v>
      </x:c>
      <x:c r="B10" s="26" t="n">
        <x:v>0.8</x:v>
      </x:c>
      <x:c r="C10" s="26" t="n">
        <x:v>1</x:v>
      </x:c>
      <x:c r="D10" s="26" t="n">
        <x:v>0</x:v>
      </x:c>
      <x:c r="E10" s="26" t="n">
        <x:v>0</x:v>
      </x:c>
      <x:c r="F10" s="26" t="n">
        <x:v>0</x:v>
      </x:c>
      <x:c r="G10" s="26" t="n">
        <x:v>0</x:v>
      </x:c>
      <x:c r="H10" s="24" t="str">
        <x:v>Shed</x:v>
      </x:c>
      <x:c r="I10" s="24" t="str">
        <x:v>Off</x:v>
      </x:c>
    </x:row>
    <x:row r="11">
      <x:c r="A11" s="24" t="str">
        <x:v>Rover / EVA Charging</x:v>
      </x:c>
      <x:c r="B11" s="26" t="n">
        <x:v>1</x:v>
      </x:c>
      <x:c r="C11" s="26" t="n">
        <x:v>1.5</x:v>
      </x:c>
      <x:c r="D11" s="26" t="n">
        <x:v>0</x:v>
      </x:c>
      <x:c r="E11" s="26" t="n">
        <x:v>0</x:v>
      </x:c>
      <x:c r="F11" s="26" t="n">
        <x:v>0</x:v>
      </x:c>
      <x:c r="G11" s="26" t="n">
        <x:v>0</x:v>
      </x:c>
      <x:c r="H11" s="24" t="str">
        <x:v>Shed / scheduled</x:v>
      </x:c>
      <x:c r="I11" s="24" t="str">
        <x:v>Only energize for rescue action if power margin permits</x:v>
      </x:c>
    </x:row>
    <x:row r="12">
      <x:c r="A12" s="24" t="str">
        <x:v>Logistics / Maintenance</x:v>
      </x:c>
      <x:c r="B12" s="26" t="n">
        <x:v>0.4</x:v>
      </x:c>
      <x:c r="C12" s="26" t="n">
        <x:v>0.6</x:v>
      </x:c>
      <x:c r="D12" s="26" t="n">
        <x:v>0</x:v>
      </x:c>
      <x:c r="E12" s="26" t="n">
        <x:v>0</x:v>
      </x:c>
      <x:c r="F12" s="26" t="n">
        <x:v>0</x:v>
      </x:c>
      <x:c r="G12" s="26" t="n">
        <x:v>0</x:v>
      </x:c>
      <x:c r="H12" s="24" t="str">
        <x:v>Shed / scheduled</x:v>
      </x:c>
      <x:c r="I12" s="24" t="str">
        <x:v>Fault-recovery maintenance only</x:v>
      </x:c>
    </x:row>
    <x:row r="13">
      <x:c r="A13" s="24" t="str">
        <x:v>Plant Non-Lighting</x:v>
      </x:c>
      <x:c r="B13" s="26" t="n">
        <x:v>0.75</x:v>
      </x:c>
      <x:c r="C13" s="26" t="n">
        <x:v>0.75</x:v>
      </x:c>
      <x:c r="D13" s="26" t="n">
        <x:v>0</x:v>
      </x:c>
      <x:c r="E13" s="26" t="n">
        <x:v>0</x:v>
      </x:c>
      <x:c r="F13" s="26" t="n">
        <x:v>0.3</x:v>
      </x:c>
      <x:c r="G13" s="26" t="n">
        <x:v>0</x:v>
      </x:c>
      <x:c r="H13" s="24" t="str">
        <x:v>Shed before crew loads</x:v>
      </x:c>
      <x:c r="I13" s="24" t="str">
        <x:v>Optional preservation mode when uncrewed</x:v>
      </x:c>
    </x:row>
    <x:row r="14">
      <x:c r="A14" s="24" t="str">
        <x:v>Plant Lighting</x:v>
      </x:c>
      <x:c r="B14" s="26" t="n">
        <x:v>0.3</x:v>
      </x:c>
      <x:c r="C14" s="26" t="n">
        <x:v>0.3</x:v>
      </x:c>
      <x:c r="D14" s="26" t="n">
        <x:v>0</x:v>
      </x:c>
      <x:c r="E14" s="26" t="n">
        <x:v>0</x:v>
      </x:c>
      <x:c r="F14" s="26" t="n">
        <x:v>0</x:v>
      </x:c>
      <x:c r="G14" s="26" t="n">
        <x:v>0</x:v>
      </x:c>
      <x:c r="H14" s="24" t="str">
        <x:v>Shed</x:v>
      </x:c>
      <x:c r="I14" s="24" t="str">
        <x:v>Off</x:v>
      </x:c>
    </x:row>
    <x:row r="15">
      <x:c r="A15" s="24" t="str">
        <x:v>ISRU / Construction</x:v>
      </x:c>
      <x:c r="B15" s="26" t="n">
        <x:v>0</x:v>
      </x:c>
      <x:c r="C15" s="26" t="n">
        <x:v>0</x:v>
      </x:c>
      <x:c r="D15" s="26" t="n">
        <x:v>0</x:v>
      </x:c>
      <x:c r="E15" s="26" t="n">
        <x:v>0</x:v>
      </x:c>
      <x:c r="F15" s="26" t="n">
        <x:v>0</x:v>
      </x:c>
      <x:c r="G15" s="26" t="n">
        <x:v>0</x:v>
      </x:c>
      <x:c r="H15" s="24" t="str">
        <x:v>Shed</x:v>
      </x:c>
      <x:c r="I15" s="24" t="str">
        <x:v>Off</x:v>
      </x:c>
    </x:row>
    <x:row r="16">
      <x:c r="A16" s="24" t="str">
        <x:v>Utility Node Warm Core</x:v>
      </x:c>
      <x:c r="B16" s="26" t="n">
        <x:v>0</x:v>
      </x:c>
      <x:c r="C16" s="26" t="n">
        <x:v>0</x:v>
      </x:c>
      <x:c r="D16" s="26" t="n">
        <x:v>0.75</x:v>
      </x:c>
      <x:c r="E16" s="26" t="n">
        <x:v>0.75</x:v>
      </x:c>
      <x:c r="F16" s="26" t="n">
        <x:v>0.75</x:v>
      </x:c>
      <x:c r="G16" s="26" t="n">
        <x:v>0.55</x:v>
      </x:c>
      <x:c r="H16" s="24" t="str">
        <x:v>Critical</x:v>
      </x:c>
      <x:c r="I16" s="24" t="str">
        <x:v>Normal-operation thermal demand assumed embedded in thermal control / recovered waste heat</x:v>
      </x:c>
    </x:row>
    <x:row r="17">
      <x:c r="A17" s="24" t="str">
        <x:v>Handover Reserve / Concurrent Utility</x:v>
      </x:c>
      <x:c r="B17" s="24" t="n">
        <x:v>0</x:v>
      </x:c>
      <x:c r="C17" s="24" t="n">
        <x:v>0.35</x:v>
      </x:c>
      <x:c r="D17" s="24" t="n">
        <x:v>0</x:v>
      </x:c>
      <x:c r="E17" s="24" t="n">
        <x:v>0</x:v>
      </x:c>
      <x:c r="F17" s="24" t="n">
        <x:v>0</x:v>
      </x:c>
      <x:c r="G17" s="24" t="n">
        <x:v>0</x:v>
      </x:c>
      <x:c r="H17" s="24" t="str">
        <x:v>Scenario reserve</x:v>
      </x:c>
      <x:c r="I17" s="24" t="str">
        <x:v>Retains the original 17.5 kW handover baseline without assigning the reserve to a specific subsystem</x:v>
      </x:c>
    </x:row>
    <x:row r="18">
      <x:c r="A18" s="41" t="str">
        <x:v>High-Rate Communications / Observability</x:v>
      </x:c>
      <x:c r="B18" s="41" t="n">
        <x:v>0.5</x:v>
      </x:c>
      <x:c r="C18" s="41" t="n">
        <x:v>0.65</x:v>
      </x:c>
      <x:c r="D18" s="41" t="n">
        <x:v>0.5</x:v>
      </x:c>
      <x:c r="E18" s="41" t="n">
        <x:v>0.2</x:v>
      </x:c>
      <x:c r="F18" s="41" t="n">
        <x:v>0.15</x:v>
      </x:c>
      <x:c r="G18" s="41" t="n">
        <x:v>0.05</x:v>
      </x:c>
      <x:c r="H18" s="24" t="str">
        <x:v>Tier 2/3 - scale or shed</x:v>
      </x:c>
      <x:c r="I18" s="24" t="str">
        <x:v>Reduce video quality and queue bulk data before compromising safety services</x:v>
      </x:c>
    </x:row>
    <x:row r="19">
      <x:c r="A19" s="41" t="str">
        <x:v>TOTAL</x:v>
      </x:c>
      <x:c r="B19" s="41" t="n">
        <x:f>SUM(B4:B18)</x:f>
        <x:v>12.500000000000002</x:v>
      </x:c>
      <x:c r="C19" s="41" t="n">
        <x:f>SUM(C4:C18)</x:f>
        <x:v>17.500000000000004</x:v>
      </x:c>
      <x:c r="D19" s="41" t="n">
        <x:f>SUM(D4:D18)</x:f>
        <x:v>8.649999999999999</x:v>
      </x:c>
      <x:c r="E19" s="41" t="n">
        <x:f>SUM(E4:E18)</x:f>
        <x:v>5.25</x:v>
      </x:c>
      <x:c r="F19" s="41" t="n">
        <x:f>SUM(F4:F18)</x:f>
        <x:v>2.4</x:v>
      </x:c>
      <x:c r="G19" s="41" t="n">
        <x:f>SUM(G4:G18)</x:f>
        <x:v>1.1</x:v>
      </x:c>
      <x:c r="H19" s="24"/>
      <x:c r="I19" s="24"/>
    </x:row>
    <x:row r="20">
      <x:c r="A20" s="41" t="str">
        <x:v>Target / Check</x:v>
      </x:c>
      <x:c r="B20" s="41" t="n">
        <x:v>12.5</x:v>
      </x:c>
      <x:c r="C20" s="41" t="n">
        <x:v>17.5</x:v>
      </x:c>
      <x:c r="D20" s="41" t="n">
        <x:v>8.65</x:v>
      </x:c>
      <x:c r="E20" s="41" t="n">
        <x:v>5.25</x:v>
      </x:c>
      <x:c r="F20" s="41" t="n">
        <x:v>2.4</x:v>
      </x:c>
      <x:c r="G20" s="41" t="n">
        <x:v>1.1</x:v>
      </x:c>
      <x:c r="H20" s="24"/>
      <x:c r="I20" s="24"/>
    </x:row>
    <x:row r="21">
      <x:c r="A21" s="41" t="str">
        <x:v>Delta</x:v>
      </x:c>
      <x:c r="B21" s="41" t="n">
        <x:f>B19-B20</x:f>
        <x:v>1.7763568394002505e-15</x:v>
      </x:c>
      <x:c r="C21" s="41" t="n">
        <x:f>C19-C20</x:f>
        <x:v>3.552713678800501e-15</x:v>
      </x:c>
      <x:c r="D21" s="41" t="n">
        <x:f>D19-D20</x:f>
        <x:v>-1.7763568394002505e-15</x:v>
      </x:c>
      <x:c r="E21" s="41" t="n">
        <x:f>E19-E20</x:f>
        <x:v>0</x:v>
      </x:c>
      <x:c r="F21" s="41" t="n">
        <x:f>F19-F20</x:f>
        <x:v>0</x:v>
      </x:c>
      <x:c r="G21" s="41" t="n">
        <x:f>G19-G20</x:f>
        <x:v>0</x:v>
      </x:c>
      <x:c r="H21" s="24"/>
      <x:c r="I21" s="24"/>
    </x:row>
    <x:row r="22">
      <x:c r="A22" s="24" t="str"/>
      <x:c r="B22" s="24"/>
      <x:c r="C22" s="24"/>
      <x:c r="D22" s="24"/>
      <x:c r="E22" s="24"/>
      <x:c r="F22" s="24"/>
      <x:c r="G22" s="24"/>
      <x:c r="H22" s="24"/>
      <x:c r="I22" s="24"/>
    </x:row>
    <x:row r="23">
      <x:c r="A23" s="24" t="str">
        <x:v>Emergency Refuge = crew concentrated in the smallest protected livable volume; Crewed Survival = full critical habitat systems retained; Uncrewed Survival = preserve electrical/thermal infrastructure and telemetry; Deep Hibernation = minimum state intended only for extended uncrewed outage.</x:v>
      </x:c>
      <x:c r="B23" s="24"/>
      <x:c r="C23" s="24"/>
      <x:c r="D23" s="24"/>
      <x:c r="E23" s="24"/>
      <x:c r="F23" s="24"/>
      <x:c r="G23" s="24"/>
      <x:c r="H23" s="24"/>
      <x:c r="I23" s="24"/>
    </x:row>
    <x:row r="24">
      <x:c r="A24" t="str"/>
    </x:row>
  </x:sheetData>
  <x:mergeCells>
    <x:mergeCell ref="A1:I1"/>
    <x:mergeCell ref="A22:I22"/>
    <x:mergeCell ref="A23:I23"/>
  </x:mergeCells>
  <x:pageMargins left="0.7" right="0.7" top="0.75" bottom="0.75" header="0.3" footer="0.3"/>
</x:worksheet>
</file>

<file path=xl/worksheets/sheet19.xml><?xml version="1.0" encoding="utf-8"?>
<x:worksheet xmlns:x="http://schemas.openxmlformats.org/spreadsheetml/2006/main">
  <x:sheetFormatPr defaultRowHeight="15"/>
  <x:cols>
    <x:col min="1" max="1" width="30" hidden="0" customWidth="1"/>
    <x:col min="2" max="2" width="10" hidden="0" customWidth="1"/>
    <x:col min="3" max="3" width="16" hidden="0" customWidth="1"/>
    <x:col min="4" max="4" width="20" hidden="0" customWidth="1"/>
    <x:col min="5" max="5" width="16" hidden="0" customWidth="1"/>
    <x:col min="6" max="6" width="20" hidden="0" customWidth="1"/>
    <x:col min="7" max="7" width="22" hidden="0" customWidth="1"/>
    <x:col min="8" max="8" width="24" hidden="0" customWidth="1"/>
    <x:col min="9" max="9" width="22" hidden="0" customWidth="1"/>
    <x:col min="10" max="10" width="40" hidden="0" customWidth="1"/>
  </x:cols>
  <x:sheetData>
    <x:row r="1" ht="28" customHeight="1">
      <x:c r="A1" s="82" t="str">
        <x:v>Crew Rescue / Safe-Haven Endurance</x:v>
      </x:c>
    </x:row>
    <x:row r="3">
      <x:c r="A3" s="87" t="str">
        <x:v>Case</x:v>
      </x:c>
      <x:c r="B3" s="87" t="str">
        <x:v>Crew</x:v>
      </x:c>
      <x:c r="C3" s="87" t="str">
        <x:v>Mode Load kW</x:v>
      </x:c>
      <x:c r="D3" s="87" t="str">
        <x:v>Installed Battery kWh</x:v>
      </x:c>
      <x:c r="E3" s="87" t="str">
        <x:v>Usable Fraction</x:v>
      </x:c>
      <x:c r="F3" s="87" t="str">
        <x:v>Battery-Only Hours</x:v>
      </x:c>
      <x:c r="G3" s="87" t="str">
        <x:v>Target Safe-Haven Hours</x:v>
      </x:c>
      <x:c r="H3" s="87" t="str">
        <x:v>Required Avg Surviving Generation kW</x:v>
      </x:c>
      <x:c r="I3" s="87" t="str">
        <x:v>Margin vs 5 kW Target</x:v>
      </x:c>
      <x:c r="J3" s="87" t="str">
        <x:v>Interpretation</x:v>
      </x:c>
    </x:row>
    <x:row r="4">
      <x:c r="A4" s="24" t="str">
        <x:v>Nominal crew refuge</x:v>
      </x:c>
      <x:c r="B4" s="24" t="n">
        <x:v>6</x:v>
      </x:c>
      <x:c r="C4" s="26" t="n">
        <x:v>5.25</x:v>
      </x:c>
      <x:c r="D4" s="26" t="n">
        <x:f>Storage!F4</x:f>
        <x:v>157.5</x:v>
      </x:c>
      <x:c r="E4" s="26" t="n">
        <x:v>0.8</x:v>
      </x:c>
      <x:c r="F4" s="26" t="n">
        <x:f>D4*E4/C4</x:f>
        <x:v>24</x:v>
      </x:c>
      <x:c r="G4" s="26" t="n">
        <x:v>168</x:v>
      </x:c>
      <x:c r="H4" s="26" t="n">
        <x:f>MAX((C4*G4-D4*E4)/G4,0)</x:f>
        <x:v>4.5</x:v>
      </x:c>
      <x:c r="I4" s="26" t="n">
        <x:f>5-H4</x:f>
        <x:v>0.5</x:v>
      </x:c>
      <x:c r="J4" s="24" t="str">
        <x:v>Primary external-rescue planning case</x:v>
      </x:c>
    </x:row>
    <x:row r="5">
      <x:c r="A5" s="24" t="str">
        <x:v>Handover crew refuge</x:v>
      </x:c>
      <x:c r="B5" s="24" t="n">
        <x:v>12</x:v>
      </x:c>
      <x:c r="C5" s="26" t="n">
        <x:v>6.75</x:v>
      </x:c>
      <x:c r="D5" s="26" t="n">
        <x:f>Storage!F5</x:f>
        <x:v>202.5</x:v>
      </x:c>
      <x:c r="E5" s="26" t="n">
        <x:v>0.8</x:v>
      </x:c>
      <x:c r="F5" s="26" t="n">
        <x:f>D5*E5/C5</x:f>
        <x:v>24</x:v>
      </x:c>
      <x:c r="G5" s="26" t="n">
        <x:v>168</x:v>
      </x:c>
      <x:c r="H5" s="26" t="n">
        <x:f>MAX((C5*G5-D5*E5)/G5,0)</x:f>
        <x:v>5.785714285714286</x:v>
      </x:c>
      <x:c r="I5" s="26" t="n">
        <x:f>5-H5</x:f>
        <x:v>-0.7857142857142856</x:v>
      </x:c>
      <x:c r="J5" s="24" t="str">
        <x:v>Crew overlap contingency</x:v>
      </x:c>
    </x:row>
    <x:row r="6">
      <x:c r="A6" s="24" t="str">
        <x:v>Nominal crew full critical</x:v>
      </x:c>
      <x:c r="B6" s="24" t="n">
        <x:v>6</x:v>
      </x:c>
      <x:c r="C6" s="26" t="n">
        <x:v>8.65</x:v>
      </x:c>
      <x:c r="D6" s="26" t="n">
        <x:f>Storage!F6</x:f>
        <x:v>129.75</x:v>
      </x:c>
      <x:c r="E6" s="26" t="n">
        <x:v>0.8</x:v>
      </x:c>
      <x:c r="F6" s="26" t="n">
        <x:f>D6*E6/C6</x:f>
        <x:v>12</x:v>
      </x:c>
      <x:c r="G6" s="26" t="n">
        <x:v>72</x:v>
      </x:c>
      <x:c r="H6" s="26" t="n">
        <x:f>MAX((C6*G6-D6*E6)/G6,0)</x:f>
        <x:v>7.208333333333333</x:v>
      </x:c>
      <x:c r="I6" s="26" t="n">
        <x:f>5-H6</x:f>
        <x:v>-2.208333333333333</x:v>
      </x:c>
      <x:c r="J6" s="24" t="str">
        <x:v>Full critical habitat retained</x:v>
      </x:c>
    </x:row>
    <x:row r="7">
      <x:c r="A7" s="24" t="str">
        <x:v>Nominal crew hibernation-like refuge</x:v>
      </x:c>
      <x:c r="B7" s="24" t="n">
        <x:v>6</x:v>
      </x:c>
      <x:c r="C7" s="26" t="n">
        <x:v>4.5</x:v>
      </x:c>
      <x:c r="D7" s="26" t="n">
        <x:f>Storage!F4</x:f>
        <x:v>157.5</x:v>
      </x:c>
      <x:c r="E7" s="26" t="n">
        <x:v>0.8</x:v>
      </x:c>
      <x:c r="F7" s="26" t="n">
        <x:f>D7*E7/C7</x:f>
        <x:v>28</x:v>
      </x:c>
      <x:c r="G7" s="26" t="n">
        <x:v>168</x:v>
      </x:c>
      <x:c r="H7" s="26" t="n">
        <x:f>MAX((C7*G7-D7*E7)/G7,0)</x:f>
        <x:v>3.75</x:v>
      </x:c>
      <x:c r="I7" s="26" t="n">
        <x:f>5-H7</x:f>
        <x:v>1.25</x:v>
      </x:c>
      <x:c r="J7" s="24" t="str">
        <x:v>Aggressive reduced-load sensitivity only</x:v>
      </x:c>
    </x:row>
    <x:row r="10">
      <x:c r="A10" s="87" t="str">
        <x:v>Planning conclusion</x:v>
      </x:c>
      <x:c r="B10" s="87" t="str"/>
      <x:c r="C10" s="87" t="str"/>
      <x:c r="D10" s="87" t="str"/>
      <x:c r="E10" s="87" t="str"/>
      <x:c r="F10" s="87" t="str"/>
      <x:c r="G10" s="87" t="str"/>
      <x:c r="H10" s="87" t="str"/>
      <x:c r="I10" s="87" t="str"/>
      <x:c r="J10" s="87" t="str"/>
    </x:row>
    <x:row r="11">
      <x:c r="A11" s="24" t="str">
        <x:v>Minimum guaranteed battery-only refuge endurance: ~24 hours by design for the 6-crew baseline.</x:v>
      </x:c>
      <x:c r="B11" s="24"/>
      <x:c r="C11" s="24"/>
      <x:c r="D11" s="24"/>
      <x:c r="E11" s="24"/>
      <x:c r="F11" s="24"/>
      <x:c r="G11" s="24"/>
      <x:c r="H11" s="24"/>
      <x:c r="I11" s="24"/>
      <x:c r="J11" s="24"/>
    </x:row>
    <x:row r="12">
      <x:c r="A12" s="24" t="str">
        <x:v>Minimum crew safe-haven target: 168 hours (7 days), supported by battery plus an independent generation path. With the baseline battery, the 6-crew refuge needs approximately 4.5 kW average surviving generation to hold 7 days.</x:v>
      </x:c>
      <x:c r="B12" s="24"/>
      <x:c r="C12" s="24"/>
      <x:c r="D12" s="24"/>
      <x:c r="E12" s="24"/>
      <x:c r="F12" s="24"/>
      <x:c r="G12" s="24"/>
      <x:c r="H12" s="24"/>
      <x:c r="I12" s="24"/>
      <x:c r="J12" s="24"/>
    </x:row>
    <x:row r="13">
      <x:c r="A13" s="24" t="str">
        <x:v>NASA's Artemis II reference trajectory used approximately four days outbound transit to the Moon after translunar injection. Launch readiness, rendezvous, landing, and surface transfer would add time, so 168 hours is a LOGIC minimum engineering target, not a promised rescue-arrival time.</x:v>
      </x:c>
      <x:c r="B13" s="24"/>
      <x:c r="C13" s="24"/>
      <x:c r="D13" s="24"/>
      <x:c r="E13" s="24"/>
      <x:c r="F13" s="24"/>
      <x:c r="G13" s="24"/>
      <x:c r="H13" s="24"/>
      <x:c r="I13" s="24"/>
      <x:c r="J13" s="24"/>
    </x:row>
  </x:sheetData>
  <x:mergeCells>
    <x:mergeCell ref="A1:J1"/>
    <x:mergeCell ref="A11:J11"/>
    <x:mergeCell ref="A12:J12"/>
    <x:mergeCell ref="A13:J13"/>
  </x:mergeCells>
  <x:pageMargins left="0.7" right="0.7" top="0.75" bottom="0.75" header="0.3" footer="0.3"/>
</x:worksheet>
</file>

<file path=xl/worksheets/sheet20.xml><?xml version="1.0" encoding="utf-8"?>
<x:worksheet xmlns:x="http://schemas.openxmlformats.org/spreadsheetml/2006/main">
  <x:sheetPr>
    <x:tabColor rgb="FF5B9BD5"/>
  </x:sheetPr>
  <x:sheetViews>
    <x:sheetView showGridLines="0" workbookViewId="0">
      <x:pane ySplit="3" topLeftCell="A4" activePane="bottomLeft" state="frozen"/>
    </x:sheetView>
  </x:sheetViews>
  <x:sheetFormatPr defaultRowHeight="15"/>
  <x:cols>
    <x:col min="1" max="1" width="24" hidden="0" customWidth="1"/>
    <x:col min="2" max="2" width="18" hidden="0" customWidth="1"/>
    <x:col min="3" max="3" width="15" hidden="0" customWidth="1"/>
    <x:col min="4" max="4" width="16" hidden="0" customWidth="1"/>
    <x:col min="5" max="5" width="22" hidden="0" customWidth="1"/>
    <x:col min="6" max="6" width="22" hidden="0" customWidth="1"/>
    <x:col min="7" max="7" width="20" hidden="0" customWidth="1"/>
    <x:col min="8" max="8" width="24" hidden="0" customWidth="1"/>
    <x:col min="9" max="9" width="24" hidden="0" customWidth="1"/>
    <x:col min="10" max="10" width="28" hidden="0" customWidth="1"/>
  </x:cols>
  <x:sheetData>
    <x:row r="1" ht="30" customHeight="1">
      <x:c r="A1" s="120" t="str">
        <x:v>NASA SCaN C&amp;PNT and Observability Demand Signal</x:v>
      </x:c>
      <x:c r="B1" s="120"/>
      <x:c r="C1" s="120"/>
      <x:c r="D1" s="120"/>
      <x:c r="E1" s="120"/>
      <x:c r="F1" s="120"/>
      <x:c r="G1" s="120"/>
      <x:c r="H1" s="120"/>
      <x:c r="I1" s="120"/>
      <x:c r="J1" s="120"/>
    </x:row>
    <x:row r="3" ht="42" customHeight="1">
      <x:c r="A3" s="112" t="str">
        <x:v>Phase</x:v>
      </x:c>
      <x:c r="B3" s="112" t="str">
        <x:v>Period</x:v>
      </x:c>
      <x:c r="C3" s="112" t="str">
        <x:v>Centralized Sites</x:v>
      </x:c>
      <x:c r="D3" s="112" t="str">
        <x:v>Assets / Site</x:v>
      </x:c>
      <x:c r="E3" s="112" t="str">
        <x:v>Relay Availability</x:v>
      </x:c>
      <x:c r="F3" s="112" t="str">
        <x:v>PNT Availability</x:v>
      </x:c>
      <x:c r="G3" s="112" t="str">
        <x:v>Surface Position</x:v>
      </x:c>
      <x:c r="H3" s="112" t="str">
        <x:v>Peak Return Throughput</x:v>
      </x:c>
      <x:c r="I3" s="112" t="str">
        <x:v>Observation Need</x:v>
      </x:c>
      <x:c r="J3" s="112" t="str">
        <x:v>LOGIC Interpretation</x:v>
      </x:c>
    </x:row>
    <x:row r="4" ht="64" customHeight="1">
      <x:c r="A4" s="126" t="str">
        <x:v>Phase 1</x:v>
      </x:c>
      <x:c r="B4" s="126" t="str">
        <x:v>Now-2028</x:v>
      </x:c>
      <x:c r="C4" s="126" t="n">
        <x:v>1</x:v>
      </x:c>
      <x:c r="D4" s="126" t="str">
        <x:v>Up to 3</x:v>
      </x:c>
      <x:c r="E4" s="126" t="str">
        <x:v>50%</x:v>
      </x:c>
      <x:c r="F4" s="126" t="str">
        <x:v>Limited / demonstration</x:v>
      </x:c>
      <x:c r="G4" s="126" t="str">
        <x:v>50 m</x:v>
      </x:c>
      <x:c r="H4" s="126" t="str">
        <x:v>50 Mbps relay by 2028; 50-100 Mbps DWE</x:v>
      </x:c>
      <x:c r="I4" s="126" t="str">
        <x:v>50 cm threshold; 30 cm target; RF + radiation monitoring</x:v>
      </x:c>
      <x:c r="J4" s="126" t="str">
        <x:v>One resilient seed node; preserve DWE and low-rate safety path</x:v>
      </x:c>
    </x:row>
    <x:row r="5" ht="64" customHeight="1">
      <x:c r="A5" s="126" t="str">
        <x:v>Phase 2</x:v>
      </x:c>
      <x:c r="B5" s="126" t="str">
        <x:v>2029-2032</x:v>
      </x:c>
      <x:c r="C5" s="126" t="n">
        <x:v>3</x:v>
      </x:c>
      <x:c r="D5" s="126" t="str">
        <x:v>3-5</x:v>
      </x:c>
      <x:c r="E5" s="126" t="str">
        <x:v>&gt;90%</x:v>
      </x:c>
      <x:c r="F5" s="126" t="str">
        <x:v>80%</x:v>
      </x:c>
      <x:c r="G5" s="126" t="str">
        <x:v>25 m</x:v>
      </x:c>
      <x:c r="H5" s="126" t="str">
        <x:v>300 Mbps by 2030; 550 Mbps by 2032</x:v>
      </x:c>
      <x:c r="I5" s="126" t="str">
        <x:v>30 cm or better; thermal, radar, volatile and night/PSR sensing</x:v>
      </x:c>
      <x:c r="J5" s="126" t="str">
        <x:v>Replicate aggregation nodes; increase storage, processing and local networking</x:v>
      </x:c>
    </x:row>
    <x:row r="6" ht="64" customHeight="1">
      <x:c r="A6" s="126" t="str">
        <x:v>Phase 3</x:v>
      </x:c>
      <x:c r="B6" s="126" t="str">
        <x:v>2033+</x:v>
      </x:c>
      <x:c r="C6" s="126" t="str">
        <x:v>3-5+</x:v>
      </x:c>
      <x:c r="D6" s="126" t="str">
        <x:v>5+</x:v>
      </x:c>
      <x:c r="E6" s="126" t="str">
        <x:v>99%</x:v>
      </x:c>
      <x:c r="F6" s="126" t="str">
        <x:v>99%</x:v>
      </x:c>
      <x:c r="G6" s="126" t="str">
        <x:v>10 m</x:v>
      </x:c>
      <x:c r="H6" s="126" t="str">
        <x:v>850 Mbps by 2034; 1250+ Mbps goal</x:v>
      </x:c>
      <x:c r="I6" s="126" t="str">
        <x:v>25 cm or better; 48 h South Pole and 1.5 h base-region revisit</x:v>
      </x:c>
      <x:c r="J6" s="126" t="str">
        <x:v>Multi-site C&amp;PNT utility with redundant paths and standardized power states</x:v>
      </x:c>
    </x:row>
    <x:row r="8">
      <x:c r="A8" s="128" t="str">
        <x:v>LOGIC Electrical Translation Without Adding Unsourced Power</x:v>
      </x:c>
      <x:c r="B8" s="128"/>
      <x:c r="C8" s="128"/>
      <x:c r="D8" s="128"/>
      <x:c r="E8" s="128"/>
      <x:c r="F8" s="128"/>
      <x:c r="G8" s="128"/>
      <x:c r="H8" s="128"/>
      <x:c r="I8" s="128"/>
      <x:c r="J8" s="128"/>
    </x:row>
    <x:row r="9" ht="48" customHeight="1">
      <x:c r="A9" s="112" t="str">
        <x:v>Service Block</x:v>
      </x:c>
      <x:c r="B9" s="112" t="str">
        <x:v>Deficit Tier</x:v>
      </x:c>
      <x:c r="C9" s="112" t="str">
        <x:v>Nominal kW</x:v>
      </x:c>
      <x:c r="D9" s="112" t="str">
        <x:v>Handover kW</x:v>
      </x:c>
      <x:c r="E9" s="112" t="str">
        <x:v>Minimum Retained Service</x:v>
      </x:c>
      <x:c r="F9" s="112" t="str">
        <x:v>Scalable / Shed Service</x:v>
      </x:c>
      <x:c r="G9" s="112" t="str">
        <x:v>Power Evidence</x:v>
      </x:c>
      <x:c r="H9" s="112" t="str">
        <x:v>Required Measurement</x:v>
      </x:c>
      <x:c r="I9" s="112" t="str">
        <x:v>Architecture Consequence</x:v>
      </x:c>
      <x:c r="J9" s="112" t="str">
        <x:v>Status</x:v>
      </x:c>
    </x:row>
    <x:row r="10" ht="72" customHeight="1">
      <x:c r="A10" s="135" t="str">
        <x:v>Command / LTC / PNT Core</x:v>
      </x:c>
      <x:c r="B10" s="135" t="str">
        <x:v>Tier 0</x:v>
      </x:c>
      <x:c r="C10" s="135" t="n">
        <x:f>'Facilities &amp; Loads'!C6</x:f>
        <x:v>0.45</x:v>
      </x:c>
      <x:c r="D10" s="135" t="n">
        <x:f>'Facilities &amp; Loads'!D6</x:f>
        <x:v>0.5</x:v>
      </x:c>
      <x:c r="E10" s="135" t="str">
        <x:v>Command, reference time, navigation and state awareness</x:v>
      </x:c>
      <x:c r="F10" s="135" t="str">
        <x:v>None until alternate safe state exists</x:v>
      </x:c>
      <x:c r="G10" s="135" t="str">
        <x:v>LOGIC engineering allocation</x:v>
      </x:c>
      <x:c r="H10" s="135" t="str">
        <x:v>Clock, PNT receiver, avionics and compute W/Wh</x:v>
      </x:c>
      <x:c r="I10" s="135" t="str">
        <x:v>N+1 conversion and local holdover energy</x:v>
      </x:c>
      <x:c r="J10" s="135" t="str">
        <x:v>Protected</x:v>
      </x:c>
    </x:row>
    <x:row r="11" ht="72" customHeight="1">
      <x:c r="A11" s="136" t="str">
        <x:v>Surface C&amp;PNT Safety Node</x:v>
      </x:c>
      <x:c r="B11" s="136" t="str">
        <x:v>Tier 0/1</x:v>
      </x:c>
      <x:c r="C11" s="136" t="n">
        <x:f>'Facilities &amp; Loads'!C7</x:f>
        <x:v>0.55</x:v>
      </x:c>
      <x:c r="D11" s="136" t="n">
        <x:f>'Facilities &amp; Loads'!D7</x:f>
        <x:v>0.65</x:v>
      </x:c>
      <x:c r="E11" s="136" t="str">
        <x:v>Emergency low-rate relay or DWE, crew/vehicle tracking, radiation alerts</x:v>
      </x:c>
      <x:c r="F11" s="136" t="str">
        <x:v>Video rate, secondary links and nonessential telemetry</x:v>
      </x:c>
      <x:c r="G11" s="136" t="str">
        <x:v>LOGIC engineering allocation</x:v>
      </x:c>
      <x:c r="H11" s="136" t="str">
        <x:v>Radio/antenna duty cycle, link budget, thermal conditioning and node overhead</x:v>
      </x:c>
      <x:c r="I11" s="136" t="str">
        <x:v>Dual communications path with graceful degradation</x:v>
      </x:c>
      <x:c r="J11" s="136" t="str">
        <x:v>Protected / degradable</x:v>
      </x:c>
    </x:row>
    <x:row r="12" ht="72" customHeight="1">
      <x:c r="A12" s="137" t="str">
        <x:v>High-Rate Communications / Observability</x:v>
      </x:c>
      <x:c r="B12" s="137" t="str">
        <x:v>Tier 2/3</x:v>
      </x:c>
      <x:c r="C12" s="137" t="n">
        <x:f>'Facilities &amp; Loads'!C17</x:f>
        <x:v>0.5</x:v>
      </x:c>
      <x:c r="D12" s="137" t="n">
        <x:f>'Facilities &amp; Loads'!D17</x:f>
        <x:v>0.65</x:v>
      </x:c>
      <x:c r="E12" s="137" t="str">
        <x:v>Store data locally and maintain health/status</x:v>
      </x:c>
      <x:c r="F12" s="137" t="str">
        <x:v>HD/UHD video, bulk science, high-resolution imaging and public feeds</x:v>
      </x:c>
      <x:c r="G12" s="137" t="str">
        <x:v>LOGIC engineering allocation</x:v>
      </x:c>
      <x:c r="H12" s="137" t="str">
        <x:v>Cameras/sensors, onboard processing, storage, optical terminal and downlink W/Wh</x:v>
      </x:c>
      <x:c r="I12" s="137" t="str">
        <x:v>Queue and time-shift traffic; shed before safety services</x:v>
      </x:c>
      <x:c r="J12" s="137" t="str">
        <x:v>Flexible</x:v>
      </x:c>
    </x:row>
    <x:row r="14">
      <x:c r="A14" s="128" t="str">
        <x:v>Remaining Power Characterization Gaps</x:v>
      </x:c>
      <x:c r="B14" s="128"/>
      <x:c r="C14" s="128"/>
      <x:c r="D14" s="128"/>
      <x:c r="E14" s="128"/>
      <x:c r="F14" s="128"/>
      <x:c r="G14" s="128"/>
      <x:c r="H14" s="128"/>
      <x:c r="I14" s="128"/>
      <x:c r="J14" s="128"/>
    </x:row>
    <x:row r="15" ht="36" customHeight="1">
      <x:c r="A15" s="112" t="str">
        <x:v>Gap</x:v>
      </x:c>
      <x:c r="B15" s="112" t="str">
        <x:v>Why It Matters</x:v>
      </x:c>
      <x:c r="C15" s="112" t="str">
        <x:v>Data Needed</x:v>
      </x:c>
      <x:c r="D15" s="112" t="str">
        <x:v>Model Destination</x:v>
      </x:c>
      <x:c r="F15" s="141" t="str">
        <x:v>Source and Use Constraint</x:v>
      </x:c>
      <x:c r="G15" s="141"/>
      <x:c r="H15" s="141"/>
      <x:c r="I15" s="141"/>
      <x:c r="J15" s="141"/>
    </x:row>
    <x:row r="16" ht="42" customHeight="1">
      <x:c r="A16" s="126" t="str">
        <x:v>Terminal and base-station electrical demand</x:v>
      </x:c>
      <x:c r="B16" s="126" t="str">
        <x:v>NASA throughput does not define watts</x:v>
      </x:c>
      <x:c r="C16" s="126" t="str">
        <x:v>Idle, receive, transmit, peak and average W</x:v>
      </x:c>
      <x:c r="D16" s="126" t="str">
        <x:v>Facilities &amp; Loads / Operating Modes</x:v>
      </x:c>
      <x:c r="F16" s="144" t="str">
        <x:v>Source: NASA Space Communications and Navigation Program. (2026, August 28). Lunar Communications, PNT and Observability Industry Demand Signal. The NASA values on this sheet define service demand and performance. They do not establish surface electrical loads. LOGIC kW values remain engineering allocations until measured hardware data are available.</x:v>
      </x:c>
      <x:c r="G16" s="144"/>
      <x:c r="H16" s="144"/>
      <x:c r="I16" s="144"/>
      <x:c r="J16" s="144"/>
    </x:row>
    <x:row r="17" ht="42" customHeight="1">
      <x:c r="A17" s="126" t="str">
        <x:v>Radio and antenna duty cycle</x:v>
      </x:c>
      <x:c r="B17" s="126" t="str">
        <x:v>Peak transmitter power may not equal daily energy</x:v>
      </x:c>
      <x:c r="C17" s="126" t="str">
        <x:v>Link schedule, elevation, coding and antenna steering</x:v>
      </x:c>
      <x:c r="D17" s="126" t="str">
        <x:v>24 h dispatch / storage</x:v>
      </x:c>
      <x:c r="F17" s="144"/>
      <x:c r="G17" s="144"/>
      <x:c r="H17" s="144"/>
      <x:c r="I17" s="144"/>
      <x:c r="J17" s="144"/>
    </x:row>
    <x:row r="18" ht="42" customHeight="1">
      <x:c r="A18" s="126" t="str">
        <x:v>LTC clock and PNT holdover</x:v>
      </x:c>
      <x:c r="B18" s="126" t="str">
        <x:v>Timing must persist through link loss</x:v>
      </x:c>
      <x:c r="C18" s="126" t="str">
        <x:v>Clock W, thermal stability, holdover duration and backup energy</x:v>
      </x:c>
      <x:c r="D18" s="126" t="str">
        <x:v>Tier 0 critical load</x:v>
      </x:c>
      <x:c r="F18" s="144"/>
      <x:c r="G18" s="144"/>
      <x:c r="H18" s="144"/>
      <x:c r="I18" s="144"/>
      <x:c r="J18" s="144"/>
    </x:row>
    <x:row r="19" ht="42" customHeight="1">
      <x:c r="A19" s="126" t="str">
        <x:v>Observation processing and storage</x:v>
      </x:c>
      <x:c r="B19" s="126" t="str">
        <x:v>Imaging creates local compute and backlog energy</x:v>
      </x:c>
      <x:c r="C19" s="126" t="str">
        <x:v>Sensor W, compute W, GB/day, compression and storage W</x:v>
      </x:c>
      <x:c r="D19" s="126" t="str">
        <x:v>Tier 2/3 flexible load</x:v>
      </x:c>
      <x:c r="F19" s="144"/>
      <x:c r="G19" s="144"/>
      <x:c r="H19" s="144"/>
      <x:c r="I19" s="144"/>
      <x:c r="J19" s="144"/>
    </x:row>
    <x:row r="20" ht="42" customHeight="1">
      <x:c r="A20" s="126" t="str">
        <x:v>Thermal conditioning</x:v>
      </x:c>
      <x:c r="B20" s="126" t="str">
        <x:v>Electronics and batteries require controlled temperature</x:v>
      </x:c>
      <x:c r="C20" s="126" t="str">
        <x:v>Heater W, radiator/rejection load and cold-start energy</x:v>
      </x:c>
      <x:c r="D20" s="126" t="str">
        <x:v>Warm-core model</x:v>
      </x:c>
    </x:row>
    <x:row r="21" ht="42" customHeight="1">
      <x:c r="A21" s="126" t="str">
        <x:v>Redundancy and black start</x:v>
      </x:c>
      <x:c r="B21" s="126" t="str">
        <x:v>99% service targets imply fault tolerance</x:v>
      </x:c>
      <x:c r="C21" s="126" t="str">
        <x:v>N+1 hardware, alternate path and restart energy</x:v>
      </x:c>
      <x:c r="D21" s="126" t="str">
        <x:v>Node sizing / storage</x:v>
      </x:c>
    </x:row>
    <x:row r="22" ht="42" customHeight="1">
      <x:c r="A22" s="126" t="str">
        <x:v>Landed mass and spares</x:v>
      </x:c>
      <x:c r="B22" s="126" t="str">
        <x:v>Power benefit must fit cargo constraints</x:v>
      </x:c>
      <x:c r="C22" s="126" t="str">
        <x:v>kg, volume, replaceable units and failure rates</x:v>
      </x:c>
      <x:c r="D22" s="126" t="str">
        <x:v>Mission Buildout / Supply Forecast</x:v>
      </x:c>
    </x:row>
  </x:sheetData>
  <x:mergeCells>
    <x:mergeCell ref="A1:J1"/>
    <x:mergeCell ref="A8:J8"/>
    <x:mergeCell ref="A14:J14"/>
    <x:mergeCell ref="F15:J15"/>
    <x:mergeCell ref="F16:J19"/>
  </x:mergeCells>
  <x:pageMargins left="0.7" right="0.7" top="0.75" bottom="0.75" header="0.3" footer="0.3"/>
</x:worksheet>
</file>